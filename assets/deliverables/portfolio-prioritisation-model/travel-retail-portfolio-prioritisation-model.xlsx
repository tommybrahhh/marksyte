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xr:revisionPtr revIDLastSave="0" documentId="13_ncr:1_{5DE5F39B-DEFA-4AE9-85BF-B5FD6E3BC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7_Dashboard" sheetId="8" r:id="rId1"/>
    <sheet name="01_SKU_Input" sheetId="2" r:id="rId2"/>
    <sheet name="02_Assumptions" sheetId="3" r:id="rId3"/>
    <sheet name="03_Scoring_Model" sheetId="4" r:id="rId4"/>
    <sheet name="04_Portfolio_Matrix" sheetId="5" r:id="rId5"/>
    <sheet name="05_Recommendations" sheetId="6" r:id="rId6"/>
    <sheet name="06_Scenario_Te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8" l="1"/>
  <c r="G16" i="8"/>
  <c r="F16" i="8"/>
  <c r="E16" i="8"/>
  <c r="H15" i="8"/>
  <c r="G15" i="8"/>
  <c r="F15" i="8"/>
  <c r="E15" i="8"/>
  <c r="H14" i="8"/>
  <c r="G14" i="8"/>
  <c r="F14" i="8"/>
  <c r="E14" i="8"/>
  <c r="A14" i="8"/>
  <c r="H13" i="8"/>
  <c r="G13" i="8"/>
  <c r="F13" i="8"/>
  <c r="E13" i="8"/>
  <c r="A13" i="8"/>
  <c r="H12" i="8"/>
  <c r="G12" i="8"/>
  <c r="F12" i="8"/>
  <c r="E12" i="8"/>
  <c r="A12" i="8"/>
  <c r="H11" i="8"/>
  <c r="G11" i="8"/>
  <c r="F11" i="8"/>
  <c r="E11" i="8"/>
  <c r="A11" i="8"/>
  <c r="F8" i="7"/>
  <c r="E8" i="7"/>
  <c r="F7" i="7"/>
  <c r="E7" i="7"/>
  <c r="F6" i="7"/>
  <c r="E6" i="7"/>
  <c r="F5" i="7"/>
  <c r="E5" i="7"/>
  <c r="F4" i="7"/>
  <c r="E4" i="7"/>
  <c r="B12" i="6"/>
  <c r="O15" i="4"/>
  <c r="M15" i="4"/>
  <c r="J15" i="4"/>
  <c r="I15" i="4"/>
  <c r="H15" i="4"/>
  <c r="B15" i="6" s="1"/>
  <c r="G15" i="4"/>
  <c r="F15" i="4"/>
  <c r="K15" i="4" s="1"/>
  <c r="E15" i="4"/>
  <c r="D15" i="4"/>
  <c r="C15" i="4"/>
  <c r="B15" i="4"/>
  <c r="A15" i="6" s="1"/>
  <c r="A15" i="4"/>
  <c r="O14" i="4"/>
  <c r="M14" i="4"/>
  <c r="H14" i="4"/>
  <c r="B14" i="6" s="1"/>
  <c r="G14" i="4"/>
  <c r="F14" i="4"/>
  <c r="K14" i="4" s="1"/>
  <c r="L14" i="4" s="1"/>
  <c r="E14" i="4"/>
  <c r="J14" i="4" s="1"/>
  <c r="D14" i="4"/>
  <c r="I14" i="4" s="1"/>
  <c r="C14" i="4"/>
  <c r="B14" i="4"/>
  <c r="A14" i="5" s="1"/>
  <c r="A14" i="4"/>
  <c r="O13" i="4"/>
  <c r="M13" i="4"/>
  <c r="J13" i="4"/>
  <c r="I13" i="4"/>
  <c r="H13" i="4"/>
  <c r="B13" i="6" s="1"/>
  <c r="G13" i="4"/>
  <c r="F13" i="4"/>
  <c r="K13" i="4" s="1"/>
  <c r="E13" i="4"/>
  <c r="D13" i="4"/>
  <c r="C13" i="4"/>
  <c r="B13" i="4"/>
  <c r="A13" i="5" s="1"/>
  <c r="A13" i="4"/>
  <c r="O12" i="4"/>
  <c r="N12" i="4"/>
  <c r="M12" i="4"/>
  <c r="H12" i="4"/>
  <c r="G12" i="4"/>
  <c r="F12" i="4"/>
  <c r="K12" i="4" s="1"/>
  <c r="E12" i="4"/>
  <c r="J12" i="4" s="1"/>
  <c r="D12" i="4"/>
  <c r="I12" i="4" s="1"/>
  <c r="C12" i="4"/>
  <c r="B12" i="4"/>
  <c r="A12" i="5" s="1"/>
  <c r="A12" i="4"/>
  <c r="O11" i="4"/>
  <c r="N11" i="4"/>
  <c r="M11" i="4"/>
  <c r="K11" i="4"/>
  <c r="L11" i="4" s="1"/>
  <c r="R11" i="4" s="1"/>
  <c r="C11" i="5" s="1"/>
  <c r="J11" i="4"/>
  <c r="I11" i="4"/>
  <c r="H11" i="4"/>
  <c r="B11" i="6" s="1"/>
  <c r="G11" i="4"/>
  <c r="F11" i="4"/>
  <c r="E11" i="4"/>
  <c r="D11" i="4"/>
  <c r="C11" i="4"/>
  <c r="B11" i="4"/>
  <c r="A11" i="5" s="1"/>
  <c r="A11" i="4"/>
  <c r="O10" i="4"/>
  <c r="M10" i="4"/>
  <c r="I10" i="4"/>
  <c r="H10" i="4"/>
  <c r="B10" i="6" s="1"/>
  <c r="G10" i="4"/>
  <c r="F10" i="4"/>
  <c r="K10" i="4" s="1"/>
  <c r="L10" i="4" s="1"/>
  <c r="E10" i="4"/>
  <c r="J10" i="4" s="1"/>
  <c r="D10" i="4"/>
  <c r="C10" i="4"/>
  <c r="B10" i="4"/>
  <c r="A10" i="6" s="1"/>
  <c r="A10" i="4"/>
  <c r="O9" i="4"/>
  <c r="M9" i="4"/>
  <c r="K9" i="4"/>
  <c r="L9" i="4" s="1"/>
  <c r="J9" i="4"/>
  <c r="H9" i="4"/>
  <c r="N9" i="4" s="1"/>
  <c r="G9" i="4"/>
  <c r="F9" i="4"/>
  <c r="E9" i="4"/>
  <c r="D9" i="4"/>
  <c r="I9" i="4" s="1"/>
  <c r="C9" i="4"/>
  <c r="B9" i="4"/>
  <c r="A9" i="5" s="1"/>
  <c r="A9" i="4"/>
  <c r="O8" i="4"/>
  <c r="M8" i="4"/>
  <c r="H8" i="4"/>
  <c r="B8" i="6" s="1"/>
  <c r="G8" i="4"/>
  <c r="F8" i="4"/>
  <c r="K8" i="4" s="1"/>
  <c r="L8" i="4" s="1"/>
  <c r="E8" i="4"/>
  <c r="J8" i="4" s="1"/>
  <c r="D8" i="4"/>
  <c r="I8" i="4" s="1"/>
  <c r="C8" i="4"/>
  <c r="B8" i="4"/>
  <c r="A8" i="6" s="1"/>
  <c r="A8" i="4"/>
  <c r="O7" i="4"/>
  <c r="M7" i="4"/>
  <c r="K7" i="4"/>
  <c r="L7" i="4" s="1"/>
  <c r="J7" i="4"/>
  <c r="H7" i="4"/>
  <c r="B7" i="6" s="1"/>
  <c r="G7" i="4"/>
  <c r="F7" i="4"/>
  <c r="E7" i="4"/>
  <c r="D7" i="4"/>
  <c r="I7" i="4" s="1"/>
  <c r="C7" i="4"/>
  <c r="B7" i="4"/>
  <c r="A7" i="6" s="1"/>
  <c r="A7" i="4"/>
  <c r="O6" i="4"/>
  <c r="M6" i="4"/>
  <c r="H6" i="4"/>
  <c r="B6" i="6" s="1"/>
  <c r="G6" i="4"/>
  <c r="F6" i="4"/>
  <c r="K6" i="4" s="1"/>
  <c r="E6" i="4"/>
  <c r="J6" i="4" s="1"/>
  <c r="D6" i="4"/>
  <c r="I6" i="4" s="1"/>
  <c r="C6" i="4"/>
  <c r="B6" i="4"/>
  <c r="A6" i="5" s="1"/>
  <c r="A6" i="4"/>
  <c r="O5" i="4"/>
  <c r="M5" i="4"/>
  <c r="J5" i="4"/>
  <c r="H5" i="4"/>
  <c r="N5" i="4" s="1"/>
  <c r="G5" i="4"/>
  <c r="F5" i="4"/>
  <c r="K5" i="4" s="1"/>
  <c r="L5" i="4" s="1"/>
  <c r="E5" i="4"/>
  <c r="D5" i="4"/>
  <c r="I5" i="4" s="1"/>
  <c r="C5" i="4"/>
  <c r="B5" i="4"/>
  <c r="A5" i="5" s="1"/>
  <c r="A5" i="4"/>
  <c r="O4" i="4"/>
  <c r="N4" i="4"/>
  <c r="M4" i="4"/>
  <c r="H4" i="4"/>
  <c r="B4" i="6" s="1"/>
  <c r="G4" i="4"/>
  <c r="F4" i="4"/>
  <c r="K4" i="4" s="1"/>
  <c r="L4" i="4" s="1"/>
  <c r="E4" i="4"/>
  <c r="J4" i="4" s="1"/>
  <c r="D4" i="4"/>
  <c r="I4" i="4" s="1"/>
  <c r="C4" i="4"/>
  <c r="B4" i="4"/>
  <c r="A4" i="6" s="1"/>
  <c r="A4" i="4"/>
  <c r="J15" i="2"/>
  <c r="J14" i="2"/>
  <c r="J13" i="2"/>
  <c r="J12" i="2"/>
  <c r="J11" i="2"/>
  <c r="J10" i="2"/>
  <c r="J9" i="2"/>
  <c r="J8" i="2"/>
  <c r="J7" i="2"/>
  <c r="J6" i="2"/>
  <c r="J5" i="2"/>
  <c r="J4" i="2"/>
  <c r="N7" i="4" l="1"/>
  <c r="R7" i="4" s="1"/>
  <c r="C7" i="5" s="1"/>
  <c r="L12" i="4"/>
  <c r="R9" i="4"/>
  <c r="C9" i="5" s="1"/>
  <c r="N13" i="4"/>
  <c r="N8" i="4"/>
  <c r="R8" i="4" s="1"/>
  <c r="C8" i="5" s="1"/>
  <c r="N10" i="4"/>
  <c r="R10" i="4" s="1"/>
  <c r="C10" i="5" s="1"/>
  <c r="A8" i="5"/>
  <c r="L13" i="4"/>
  <c r="R13" i="4" s="1"/>
  <c r="C13" i="5" s="1"/>
  <c r="L15" i="4"/>
  <c r="R15" i="4" s="1"/>
  <c r="C15" i="5" s="1"/>
  <c r="Q13" i="4"/>
  <c r="T13" i="4" s="1"/>
  <c r="E13" i="5" s="1"/>
  <c r="R5" i="4"/>
  <c r="C5" i="5" s="1"/>
  <c r="P7" i="4"/>
  <c r="C7" i="6" s="1"/>
  <c r="P9" i="4"/>
  <c r="S9" i="4" s="1"/>
  <c r="Q9" i="4"/>
  <c r="B9" i="5" s="1"/>
  <c r="P5" i="4"/>
  <c r="S5" i="4" s="1"/>
  <c r="P13" i="4"/>
  <c r="C13" i="6" s="1"/>
  <c r="B5" i="6"/>
  <c r="N6" i="4"/>
  <c r="R12" i="4"/>
  <c r="C12" i="5" s="1"/>
  <c r="N15" i="4"/>
  <c r="P15" i="4" s="1"/>
  <c r="R4" i="4"/>
  <c r="C4" i="5" s="1"/>
  <c r="A5" i="8"/>
  <c r="N14" i="4"/>
  <c r="R14" i="4" s="1"/>
  <c r="C14" i="5" s="1"/>
  <c r="B9" i="6"/>
  <c r="L6" i="4"/>
  <c r="R6" i="4" s="1"/>
  <c r="C6" i="5" s="1"/>
  <c r="P11" i="4"/>
  <c r="S11" i="4" s="1"/>
  <c r="A12" i="6"/>
  <c r="Q6" i="4"/>
  <c r="Q10" i="4"/>
  <c r="Q14" i="4"/>
  <c r="Q4" i="4"/>
  <c r="Q8" i="4"/>
  <c r="Q12" i="4"/>
  <c r="A10" i="5"/>
  <c r="A5" i="6"/>
  <c r="A9" i="6"/>
  <c r="A13" i="6"/>
  <c r="G4" i="7"/>
  <c r="G8" i="7"/>
  <c r="Q11" i="4"/>
  <c r="P4" i="4"/>
  <c r="P6" i="4"/>
  <c r="P12" i="4"/>
  <c r="P14" i="4"/>
  <c r="A7" i="5"/>
  <c r="A15" i="5"/>
  <c r="A4" i="5"/>
  <c r="A6" i="6"/>
  <c r="A14" i="6"/>
  <c r="Q15" i="4"/>
  <c r="Q5" i="4"/>
  <c r="Q7" i="4"/>
  <c r="A11" i="6"/>
  <c r="S7" i="4" l="1"/>
  <c r="D7" i="5" s="1"/>
  <c r="H8" i="7"/>
  <c r="P10" i="4"/>
  <c r="G6" i="7" s="1"/>
  <c r="T9" i="4"/>
  <c r="E9" i="5" s="1"/>
  <c r="P8" i="4"/>
  <c r="C9" i="6"/>
  <c r="C11" i="6"/>
  <c r="C5" i="6"/>
  <c r="S13" i="4"/>
  <c r="D13" i="5" s="1"/>
  <c r="C15" i="6"/>
  <c r="S15" i="4"/>
  <c r="D15" i="5" s="1"/>
  <c r="B13" i="5"/>
  <c r="G7" i="7"/>
  <c r="H7" i="7" s="1"/>
  <c r="T12" i="4"/>
  <c r="E12" i="5" s="1"/>
  <c r="B12" i="5"/>
  <c r="T4" i="4"/>
  <c r="E4" i="5" s="1"/>
  <c r="B4" i="5"/>
  <c r="D11" i="6"/>
  <c r="D11" i="5"/>
  <c r="B6" i="5"/>
  <c r="T6" i="4"/>
  <c r="E6" i="5" s="1"/>
  <c r="T5" i="4"/>
  <c r="E5" i="5" s="1"/>
  <c r="B5" i="5"/>
  <c r="B14" i="5"/>
  <c r="T14" i="4"/>
  <c r="E14" i="5" s="1"/>
  <c r="D5" i="6"/>
  <c r="D5" i="5"/>
  <c r="C14" i="6"/>
  <c r="S14" i="4"/>
  <c r="C10" i="6"/>
  <c r="S10" i="4"/>
  <c r="H6" i="7" s="1"/>
  <c r="S12" i="4"/>
  <c r="C12" i="6"/>
  <c r="G5" i="7"/>
  <c r="H5" i="7" s="1"/>
  <c r="T8" i="4"/>
  <c r="E8" i="5" s="1"/>
  <c r="B8" i="5"/>
  <c r="D9" i="6"/>
  <c r="D9" i="5"/>
  <c r="B15" i="5"/>
  <c r="T15" i="4"/>
  <c r="E15" i="5" s="1"/>
  <c r="S8" i="4"/>
  <c r="C8" i="6"/>
  <c r="C6" i="6"/>
  <c r="S6" i="4"/>
  <c r="S4" i="4"/>
  <c r="H5" i="8"/>
  <c r="C4" i="6"/>
  <c r="B7" i="5"/>
  <c r="T7" i="4"/>
  <c r="E7" i="5" s="1"/>
  <c r="T11" i="4"/>
  <c r="E11" i="5" s="1"/>
  <c r="B11" i="5"/>
  <c r="T10" i="4"/>
  <c r="E10" i="5" s="1"/>
  <c r="B10" i="5"/>
  <c r="D7" i="6" l="1"/>
  <c r="H4" i="7"/>
  <c r="D13" i="6"/>
  <c r="D15" i="6"/>
  <c r="H15" i="6" s="1"/>
  <c r="D12" i="5"/>
  <c r="D12" i="6"/>
  <c r="F5" i="6"/>
  <c r="E5" i="6"/>
  <c r="J5" i="6"/>
  <c r="H5" i="6"/>
  <c r="G5" i="6"/>
  <c r="I5" i="6"/>
  <c r="J11" i="6"/>
  <c r="I11" i="6"/>
  <c r="H11" i="6"/>
  <c r="G11" i="6"/>
  <c r="F11" i="6"/>
  <c r="E11" i="6"/>
  <c r="F9" i="6"/>
  <c r="E9" i="6"/>
  <c r="G9" i="6"/>
  <c r="J9" i="6"/>
  <c r="H9" i="6"/>
  <c r="I9" i="6"/>
  <c r="D6" i="6"/>
  <c r="D6" i="5"/>
  <c r="F13" i="6"/>
  <c r="E13" i="6"/>
  <c r="G13" i="6"/>
  <c r="J13" i="6"/>
  <c r="H13" i="6"/>
  <c r="I13" i="6"/>
  <c r="D10" i="6"/>
  <c r="D10" i="5"/>
  <c r="D5" i="8"/>
  <c r="D4" i="5"/>
  <c r="C11" i="8"/>
  <c r="C5" i="8"/>
  <c r="B5" i="8"/>
  <c r="E5" i="8"/>
  <c r="B13" i="8"/>
  <c r="D4" i="6"/>
  <c r="F5" i="8"/>
  <c r="G5" i="8"/>
  <c r="C12" i="8"/>
  <c r="C13" i="8"/>
  <c r="B14" i="8"/>
  <c r="C14" i="8"/>
  <c r="B12" i="8"/>
  <c r="B11" i="8"/>
  <c r="J7" i="6"/>
  <c r="I7" i="6"/>
  <c r="H7" i="6"/>
  <c r="G7" i="6"/>
  <c r="F7" i="6"/>
  <c r="E7" i="6"/>
  <c r="D8" i="6"/>
  <c r="D8" i="5"/>
  <c r="D14" i="6"/>
  <c r="D14" i="5"/>
  <c r="E15" i="6" l="1"/>
  <c r="I15" i="6"/>
  <c r="J15" i="6"/>
  <c r="F15" i="6"/>
  <c r="G15" i="6"/>
  <c r="J6" i="6"/>
  <c r="I6" i="6"/>
  <c r="H6" i="6"/>
  <c r="F6" i="6"/>
  <c r="E6" i="6"/>
  <c r="G6" i="6"/>
  <c r="H4" i="6"/>
  <c r="G4" i="6"/>
  <c r="F4" i="6"/>
  <c r="E4" i="6"/>
  <c r="J4" i="6"/>
  <c r="I4" i="6"/>
  <c r="H8" i="6"/>
  <c r="G8" i="6"/>
  <c r="F8" i="6"/>
  <c r="E8" i="6"/>
  <c r="I8" i="6"/>
  <c r="J8" i="6"/>
  <c r="J10" i="6"/>
  <c r="I10" i="6"/>
  <c r="E10" i="6"/>
  <c r="H10" i="6"/>
  <c r="F10" i="6"/>
  <c r="G10" i="6"/>
  <c r="H12" i="6"/>
  <c r="G12" i="6"/>
  <c r="F12" i="6"/>
  <c r="E12" i="6"/>
  <c r="I12" i="6"/>
  <c r="J12" i="6"/>
  <c r="J14" i="6"/>
  <c r="I14" i="6"/>
  <c r="F14" i="6"/>
  <c r="H14" i="6"/>
  <c r="E14" i="6"/>
  <c r="G14" i="6"/>
</calcChain>
</file>

<file path=xl/sharedStrings.xml><?xml version="1.0" encoding="utf-8"?>
<sst xmlns="http://schemas.openxmlformats.org/spreadsheetml/2006/main" count="335" uniqueCount="234">
  <si>
    <t>Commercial Performance</t>
  </si>
  <si>
    <t>Strategic Attractiveness</t>
  </si>
  <si>
    <t>Scenario Test</t>
  </si>
  <si>
    <t>SKU Input</t>
  </si>
  <si>
    <t>SKU ID</t>
  </si>
  <si>
    <t>SKU Name</t>
  </si>
  <si>
    <t>Category</t>
  </si>
  <si>
    <t>Segment</t>
  </si>
  <si>
    <t>Pack Format</t>
  </si>
  <si>
    <t>Size</t>
  </si>
  <si>
    <t>Price</t>
  </si>
  <si>
    <t>Net Sales</t>
  </si>
  <si>
    <t>Gross Margin %</t>
  </si>
  <si>
    <t>Gross Margin Value</t>
  </si>
  <si>
    <t>Units Sold</t>
  </si>
  <si>
    <t>Rate of Sale</t>
  </si>
  <si>
    <t>Distribution %</t>
  </si>
  <si>
    <t>Avg. Facings</t>
  </si>
  <si>
    <t>Traveller Occasion</t>
  </si>
  <si>
    <t>Core Traveller Type</t>
  </si>
  <si>
    <t>Cannibalisation Risk</t>
  </si>
  <si>
    <t>Strategic Role</t>
  </si>
  <si>
    <t>Current Support Level</t>
  </si>
  <si>
    <t>Notes</t>
  </si>
  <si>
    <t>SKU 01</t>
  </si>
  <si>
    <t>Aura Chocolates Travel Gift Box 300g</t>
  </si>
  <si>
    <t>Confectionery</t>
  </si>
  <si>
    <t>Gifting</t>
  </si>
  <si>
    <t>Gift box</t>
  </si>
  <si>
    <t>300g</t>
  </si>
  <si>
    <t>Gift</t>
  </si>
  <si>
    <t>Leisure</t>
  </si>
  <si>
    <t>Low</t>
  </si>
  <si>
    <t>Hero</t>
  </si>
  <si>
    <t>High</t>
  </si>
  <si>
    <t>Strong airport gifting fit and high browse value</t>
  </si>
  <si>
    <t>SKU 02</t>
  </si>
  <si>
    <t>Northgate Whisky Reserve 1L</t>
  </si>
  <si>
    <t>Spirits</t>
  </si>
  <si>
    <t>Premium</t>
  </si>
  <si>
    <t>Travel exclusive</t>
  </si>
  <si>
    <t>1L</t>
  </si>
  <si>
    <t>Premium treat</t>
  </si>
  <si>
    <t>Business</t>
  </si>
  <si>
    <t>Medium</t>
  </si>
  <si>
    <t>Margin builder</t>
  </si>
  <si>
    <t>High value but needs visibility in gifting-heavy stores</t>
  </si>
  <si>
    <t>SKU 03</t>
  </si>
  <si>
    <t>Vela Skin Hydration Travel Duo</t>
  </si>
  <si>
    <t>Beauty</t>
  </si>
  <si>
    <t>Duo</t>
  </si>
  <si>
    <t>2x50ml</t>
  </si>
  <si>
    <t>Replenishment</t>
  </si>
  <si>
    <t>Long-haul</t>
  </si>
  <si>
    <t>Premiumiser</t>
  </si>
  <si>
    <t>Strong travel need-state with distribution headroom</t>
  </si>
  <si>
    <t>SKU 04</t>
  </si>
  <si>
    <t>Pulse Energy Multipack 6x250ml</t>
  </si>
  <si>
    <t>Beverage</t>
  </si>
  <si>
    <t>Mainstream</t>
  </si>
  <si>
    <t>Multipack</t>
  </si>
  <si>
    <t>6x250ml</t>
  </si>
  <si>
    <t>Impulse</t>
  </si>
  <si>
    <t>Gen Z</t>
  </si>
  <si>
    <t>Traffic driver</t>
  </si>
  <si>
    <t>Good units but low margin and risk of replacing higher-value beverages</t>
  </si>
  <si>
    <t>SKU 05</t>
  </si>
  <si>
    <t>Solara SPF Travel Kit</t>
  </si>
  <si>
    <t>Travel need</t>
  </si>
  <si>
    <t>Travel kit</t>
  </si>
  <si>
    <t>3-piece</t>
  </si>
  <si>
    <t>Family</t>
  </si>
  <si>
    <t>Recruitment SKU</t>
  </si>
  <si>
    <t>Clear travel pain point but under-distributed</t>
  </si>
  <si>
    <t>SKU 06</t>
  </si>
  <si>
    <t>Terra Coffee Premium Tin 250g</t>
  </si>
  <si>
    <t>Food</t>
  </si>
  <si>
    <t>Tin</t>
  </si>
  <si>
    <t>250g</t>
  </si>
  <si>
    <t>Destination-linked purchase</t>
  </si>
  <si>
    <t>Seasonal/test SKU</t>
  </si>
  <si>
    <t>Could work as destination-linked souvenir if supported</t>
  </si>
  <si>
    <t>SKU 07</t>
  </si>
  <si>
    <t>Botanika Mini Fragrance Set</t>
  </si>
  <si>
    <t>Discovery</t>
  </si>
  <si>
    <t>Mini set</t>
  </si>
  <si>
    <t>5x8ml</t>
  </si>
  <si>
    <t>Discovery/trial</t>
  </si>
  <si>
    <t>High strategic fit; needs airport test before scaling</t>
  </si>
  <si>
    <t>SKU 08</t>
  </si>
  <si>
    <t>Frost Mints Pocket Pack</t>
  </si>
  <si>
    <t>Value</t>
  </si>
  <si>
    <t>Single</t>
  </si>
  <si>
    <t>40g</t>
  </si>
  <si>
    <t>Domestic</t>
  </si>
  <si>
    <t>High reach but weak economics and limited distinctiveness</t>
  </si>
  <si>
    <t>SKU 09</t>
  </si>
  <si>
    <t>Altitude Protein Bar 12-pack</t>
  </si>
  <si>
    <t>Snacks</t>
  </si>
  <si>
    <t>Health</t>
  </si>
  <si>
    <t>12-pack</t>
  </si>
  <si>
    <t>Business travel</t>
  </si>
  <si>
    <t>Potential for business travel but current performance is soft</t>
  </si>
  <si>
    <t>SKU 10</t>
  </si>
  <si>
    <t>Mare RTD Cocktail 4x200ml</t>
  </si>
  <si>
    <t>4x200ml</t>
  </si>
  <si>
    <t>Travel-exclusive format with strong conversion potential</t>
  </si>
  <si>
    <t>SKU 11</t>
  </si>
  <si>
    <t>Lumina Beauty Refill Pouch</t>
  </si>
  <si>
    <t>Refill</t>
  </si>
  <si>
    <t>100ml</t>
  </si>
  <si>
    <t>Duplicative SKU</t>
  </si>
  <si>
    <t>Useful sustainability cue but overlaps with core beauty range</t>
  </si>
  <si>
    <t>SKU 12</t>
  </si>
  <si>
    <t>Casa Roja Olive Oil Gift Tin</t>
  </si>
  <si>
    <t>Gift tin</t>
  </si>
  <si>
    <t>500ml</t>
  </si>
  <si>
    <t>Giftable, destination-linked and margin-accretive</t>
  </si>
  <si>
    <t>Assumptions</t>
  </si>
  <si>
    <t>Dimension</t>
  </si>
  <si>
    <t>Weight</t>
  </si>
  <si>
    <t>Sales threshold</t>
  </si>
  <si>
    <t>Score</t>
  </si>
  <si>
    <t>Definition</t>
  </si>
  <si>
    <t>Margin threshold</t>
  </si>
  <si>
    <t>Sales Performance</t>
  </si>
  <si>
    <t>Large revenue contributor</t>
  </si>
  <si>
    <t>60%+</t>
  </si>
  <si>
    <t>Margin Quality</t>
  </si>
  <si>
    <t>Strong revenue contributor</t>
  </si>
  <si>
    <t>50-59%</t>
  </si>
  <si>
    <t>Mid-tier performer</t>
  </si>
  <si>
    <t>40-49%</t>
  </si>
  <si>
    <t>Distribution Opportunity</t>
  </si>
  <si>
    <t>Low performer</t>
  </si>
  <si>
    <t>30-39%</t>
  </si>
  <si>
    <t>Occasion Fit</t>
  </si>
  <si>
    <t>Tail SKU</t>
  </si>
  <si>
    <t>Below 30%</t>
  </si>
  <si>
    <t>Cannibalisation Risk Penalty</t>
  </si>
  <si>
    <t>Strategic role</t>
  </si>
  <si>
    <t>Interpretation</t>
  </si>
  <si>
    <t>Penalty</t>
  </si>
  <si>
    <t>Recommendation</t>
  </si>
  <si>
    <t>Minimum Score</t>
  </si>
  <si>
    <t>Primary logic</t>
  </si>
  <si>
    <t>Core range anchor</t>
  </si>
  <si>
    <t>Distinct mission or incremental occasion</t>
  </si>
  <si>
    <t>Invest</t>
  </si>
  <si>
    <t>High total score, margin, ROS and role clarity</t>
  </si>
  <si>
    <t>Profit-led portfolio role</t>
  </si>
  <si>
    <t>Some overlap with existing SKU</t>
  </si>
  <si>
    <t>Retain</t>
  </si>
  <si>
    <t>Solid economics with stable portfolio role</t>
  </si>
  <si>
    <t>Raises category perception</t>
  </si>
  <si>
    <t>Likely substitution or duplicate</t>
  </si>
  <si>
    <t>Test</t>
  </si>
  <si>
    <t>Medium score plus strategic fit or distribution headroom</t>
  </si>
  <si>
    <t>Brings new shoppers or missions</t>
  </si>
  <si>
    <t>Remove</t>
  </si>
  <si>
    <t>Weak economics, low role clarity or high cannibalisation</t>
  </si>
  <si>
    <t>Useful volume role</t>
  </si>
  <si>
    <t>Worth controlled testing</t>
  </si>
  <si>
    <t>Weak distinctiveness</t>
  </si>
  <si>
    <t>Scoring Model</t>
  </si>
  <si>
    <t>GM %</t>
  </si>
  <si>
    <t>Sales Score</t>
  </si>
  <si>
    <t>Margin Score</t>
  </si>
  <si>
    <t>ROS Score</t>
  </si>
  <si>
    <t>Distribution Opp.</t>
  </si>
  <si>
    <t>Role Score</t>
  </si>
  <si>
    <t>Cannibal Penalty</t>
  </si>
  <si>
    <t>Total Score</t>
  </si>
  <si>
    <t>Commercial Perf.</t>
  </si>
  <si>
    <t>Strategic Attr.</t>
  </si>
  <si>
    <t>Quadrant</t>
  </si>
  <si>
    <t>Portfolio Matrix</t>
  </si>
  <si>
    <t>SKU</t>
  </si>
  <si>
    <t>Meaning</t>
  </si>
  <si>
    <t>Primary action</t>
  </si>
  <si>
    <t>Winners</t>
  </si>
  <si>
    <t>High performance / high strategy</t>
  </si>
  <si>
    <t>Efficient but not priority</t>
  </si>
  <si>
    <t>High performance / low strategy</t>
  </si>
  <si>
    <t>Potential bets</t>
  </si>
  <si>
    <t>Low performance / high strategy</t>
  </si>
  <si>
    <t>Weak tail</t>
  </si>
  <si>
    <t>Low performance / low strategy</t>
  </si>
  <si>
    <t>Recommendations</t>
  </si>
  <si>
    <t>Current Role</t>
  </si>
  <si>
    <t>Reason</t>
  </si>
  <si>
    <t>Action</t>
  </si>
  <si>
    <t>Expected Impact</t>
  </si>
  <si>
    <t>Priority</t>
  </si>
  <si>
    <t>Owner</t>
  </si>
  <si>
    <t>Timing</t>
  </si>
  <si>
    <t>Scenario</t>
  </si>
  <si>
    <t>Change</t>
  </si>
  <si>
    <t>Assumption</t>
  </si>
  <si>
    <t>New Sales</t>
  </si>
  <si>
    <t>New Margin</t>
  </si>
  <si>
    <t>New Score</t>
  </si>
  <si>
    <t>Recommendation Change</t>
  </si>
  <si>
    <t>Comment</t>
  </si>
  <si>
    <t>Increase distribution of Mare RTD Cocktail 4x200ml</t>
  </si>
  <si>
    <t>Distribution +20%</t>
  </si>
  <si>
    <t>Tests whether premium RTD can scale beyond current doors</t>
  </si>
  <si>
    <t>Remove low-performing duplicate SKU</t>
  </si>
  <si>
    <t>Remove and transfer 30% sales</t>
  </si>
  <si>
    <t>Assumes partial sales transfer to stronger beauty SKUs</t>
  </si>
  <si>
    <t>Test Botanika Mini Fragrance Set in high-tourism airports</t>
  </si>
  <si>
    <t>Distribution +25%</t>
  </si>
  <si>
    <t>Controlled test for discovery-led beauty purchase</t>
  </si>
  <si>
    <t>Invest in Northgate Whisky Reserve 1L</t>
  </si>
  <si>
    <t>Visibility +10% ROS</t>
  </si>
  <si>
    <t>Targets gifting-heavy locations and premium shoppers</t>
  </si>
  <si>
    <t>Margin improvement on Pulse multipack</t>
  </si>
  <si>
    <t>Margin +3 pts</t>
  </si>
  <si>
    <t>Tests whether stronger terms repair economics</t>
  </si>
  <si>
    <t>Dashboard</t>
  </si>
  <si>
    <t>Total SKUs</t>
  </si>
  <si>
    <t>Sales at risk</t>
  </si>
  <si>
    <t>Upside opportunity</t>
  </si>
  <si>
    <t>Avg. score</t>
  </si>
  <si>
    <t>Decision model</t>
  </si>
  <si>
    <t>High-priority scale plays</t>
  </si>
  <si>
    <t>Stable range</t>
  </si>
  <si>
    <t>Controlled bets</t>
  </si>
  <si>
    <t>Tail rationalisation</t>
  </si>
  <si>
    <t>Remove-classified sales (EUR k)</t>
  </si>
  <si>
    <t>Invest/Test uplift proxy (EUR k)</t>
  </si>
  <si>
    <t>Portfolio health</t>
  </si>
  <si>
    <t>SKU Count</t>
  </si>
  <si>
    <t>Sample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</si>
</sst>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%"/>
    <numFmt numFmtId="165" formatCode="0.0"/>
    <numFmt numFmtId="166" formatCode="#,##0.00\ &quot;€&quot;"/>
    <numFmt numFmtId="167" formatCode="_-* #,##0\ &quot;€&quot;_-;\-* #,##0\ &quot;€&quot;_-;_-* &quot;-&quot;??\ &quot;€&quot;_-;_-@_-"/>
  </numFmts>
  <fonts count="12">
    <font>
      <sz val="11"/>
      <name val="Carlito"/>
    </font>
    <font>
      <i/>
      <sz val="11"/>
      <color rgb="FF475569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b/>
      <sz val="11"/>
      <color rgb="FFFFFFFF"/>
      <name val="Calibri"/>
      <family val="2"/>
      <scheme val="minor"/>
    </font>
    <font>
      <b/>
      <sz val="18"/>
      <color rgb="FF1F2937"/>
      <name val="Calibri"/>
      <family val="2"/>
      <scheme val="minor"/>
    </font>
    <font>
      <sz val="11"/>
      <color rgb="FF475569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ptos"/>
      <family val="2"/>
    </font>
    <font>
      <sz val="1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D9DEE7"/>
      </top>
      <bottom style="thin">
        <color rgb="FFD9DEE7"/>
      </bottom>
      <diagonal/>
    </border>
    <border>
      <left style="thin">
        <color rgb="FF1F2937"/>
      </left>
      <right/>
      <top style="thin">
        <color rgb="FF1F2937"/>
      </top>
      <bottom style="thin">
        <color rgb="FF1F2937"/>
      </bottom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5">
    <xf numFmtId="0" fontId="0" fillId="0" borderId="0" xfId="0"/>
    <xf numFmtId="0" fontId="0" fillId="4" borderId="1" xfId="0" applyFill="1" applyBorder="1"/>
    <xf numFmtId="164" fontId="0" fillId="4" borderId="1" xfId="0" applyNumberFormat="1" applyFill="1" applyBorder="1"/>
    <xf numFmtId="0" fontId="4" fillId="0" borderId="0" xfId="0" applyFont="1"/>
    <xf numFmtId="0" fontId="0" fillId="0" borderId="0" xfId="0" applyAlignment="1">
      <alignment wrapText="1"/>
    </xf>
    <xf numFmtId="0" fontId="9" fillId="4" borderId="1" xfId="0" applyFont="1" applyFill="1" applyBorder="1"/>
    <xf numFmtId="0" fontId="6" fillId="8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3" fontId="7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166" fontId="0" fillId="4" borderId="1" xfId="0" applyNumberFormat="1" applyFill="1" applyBorder="1"/>
    <xf numFmtId="167" fontId="9" fillId="4" borderId="1" xfId="1" applyNumberFormat="1" applyFont="1" applyFill="1" applyBorder="1"/>
    <xf numFmtId="0" fontId="2" fillId="8" borderId="2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6" fillId="8" borderId="2" xfId="0" applyFont="1" applyFill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6" fillId="8" borderId="4" xfId="0" applyFont="1" applyFill="1" applyBorder="1" applyAlignment="1">
      <alignment wrapText="1"/>
    </xf>
    <xf numFmtId="164" fontId="9" fillId="4" borderId="1" xfId="0" applyNumberFormat="1" applyFont="1" applyFill="1" applyBorder="1"/>
    <xf numFmtId="165" fontId="9" fillId="4" borderId="1" xfId="0" applyNumberFormat="1" applyFont="1" applyFill="1" applyBorder="1"/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6" borderId="1" xfId="0" applyFont="1" applyFill="1" applyBorder="1"/>
    <xf numFmtId="165" fontId="9" fillId="6" borderId="1" xfId="0" applyNumberFormat="1" applyFont="1" applyFill="1" applyBorder="1"/>
    <xf numFmtId="0" fontId="9" fillId="7" borderId="1" xfId="0" applyFont="1" applyFill="1" applyBorder="1"/>
    <xf numFmtId="0" fontId="6" fillId="8" borderId="2" xfId="0" applyFont="1" applyFill="1" applyBorder="1"/>
    <xf numFmtId="0" fontId="6" fillId="8" borderId="3" xfId="0" applyFont="1" applyFill="1" applyBorder="1"/>
    <xf numFmtId="0" fontId="6" fillId="8" borderId="4" xfId="0" applyFont="1" applyFill="1" applyBorder="1"/>
    <xf numFmtId="9" fontId="9" fillId="4" borderId="1" xfId="0" applyNumberFormat="1" applyFont="1" applyFill="1" applyBorder="1"/>
    <xf numFmtId="0" fontId="9" fillId="5" borderId="1" xfId="0" applyFont="1" applyFill="1" applyBorder="1"/>
    <xf numFmtId="164" fontId="9" fillId="5" borderId="1" xfId="0" applyNumberFormat="1" applyFont="1" applyFill="1" applyBorder="1"/>
    <xf numFmtId="3" fontId="9" fillId="5" borderId="1" xfId="0" applyNumberFormat="1" applyFont="1" applyFill="1" applyBorder="1"/>
    <xf numFmtId="165" fontId="9" fillId="5" borderId="1" xfId="0" applyNumberFormat="1" applyFont="1" applyFill="1" applyBorder="1"/>
    <xf numFmtId="0" fontId="3" fillId="2" borderId="0" xfId="0" applyFont="1" applyFill="1"/>
    <xf numFmtId="0" fontId="4" fillId="0" borderId="0" xfId="0" applyFont="1"/>
    <xf numFmtId="0" fontId="1" fillId="3" borderId="0" xfId="0" applyFont="1" applyFill="1"/>
    <xf numFmtId="0" fontId="0" fillId="0" borderId="0" xfId="0"/>
    <xf numFmtId="0" fontId="10" fillId="0" borderId="0" xfId="0" applyFont="1"/>
    <xf numFmtId="0" fontId="11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ES" sz="1600">
                <a:latin typeface="+mn-lt"/>
              </a:rPr>
              <a:t>SKU count by recommendation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SKU Count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strRef>
              <c:f>'07_Dashboard'!$A$11:$A$14</c:f>
              <c:strCache>
                <c:ptCount val="4"/>
                <c:pt idx="0">
                  <c:v>Invest</c:v>
                </c:pt>
                <c:pt idx="1">
                  <c:v>Retain</c:v>
                </c:pt>
                <c:pt idx="2">
                  <c:v>Test</c:v>
                </c:pt>
                <c:pt idx="3">
                  <c:v>Remove</c:v>
                </c:pt>
              </c:strCache>
            </c:strRef>
          </c:cat>
          <c:val>
            <c:numRef>
              <c:f>'07_Dashboard'!$B$11:$B$14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EC5-4698-971F-4A89C0785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+mn-lt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ES" sz="1600">
                <a:latin typeface="+mn-lt"/>
              </a:rPr>
              <a:t>Net sales by recommendation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'07_Dashboard'!$A$11:$A$14</c:f>
              <c:strCache>
                <c:ptCount val="4"/>
                <c:pt idx="0">
                  <c:v>Invest</c:v>
                </c:pt>
                <c:pt idx="1">
                  <c:v>Retain</c:v>
                </c:pt>
                <c:pt idx="2">
                  <c:v>Test</c:v>
                </c:pt>
                <c:pt idx="3">
                  <c:v>Remove</c:v>
                </c:pt>
              </c:strCache>
            </c:strRef>
          </c:cat>
          <c:val>
            <c:numRef>
              <c:f>'07_Dashboard'!$C$11:$C$14</c:f>
              <c:numCache>
                <c:formatCode>_-* #,##0\ "€"_-;\-* #,##0\ "€"_-;_-* "-"??\ "€"_-;_-@_-</c:formatCode>
                <c:ptCount val="4"/>
                <c:pt idx="0">
                  <c:v>725000</c:v>
                </c:pt>
                <c:pt idx="1">
                  <c:v>1145000</c:v>
                </c:pt>
                <c:pt idx="2">
                  <c:v>885000</c:v>
                </c:pt>
                <c:pt idx="3">
                  <c:v>425000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0AB-4247-A274-260785C8C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+mn-lt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 sz="1400"/>
              <a:t>SKU position: rate of sale vs margin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yVal>
            <c:numRef>
              <c:f>'01_SKU_Input'!$I$4:$I$15</c:f>
              <c:numCache>
                <c:formatCode>0.0%</c:formatCode>
                <c:ptCount val="12"/>
                <c:pt idx="0">
                  <c:v>0.57999999999999996</c:v>
                </c:pt>
                <c:pt idx="1">
                  <c:v>0.62</c:v>
                </c:pt>
                <c:pt idx="2">
                  <c:v>0.64</c:v>
                </c:pt>
                <c:pt idx="3">
                  <c:v>0.36</c:v>
                </c:pt>
                <c:pt idx="4">
                  <c:v>0.55000000000000004</c:v>
                </c:pt>
                <c:pt idx="5">
                  <c:v>0.43</c:v>
                </c:pt>
                <c:pt idx="6">
                  <c:v>0.67</c:v>
                </c:pt>
                <c:pt idx="7">
                  <c:v>0.28999999999999998</c:v>
                </c:pt>
                <c:pt idx="8">
                  <c:v>0.41</c:v>
                </c:pt>
                <c:pt idx="9">
                  <c:v>0.51</c:v>
                </c:pt>
                <c:pt idx="10">
                  <c:v>0.48</c:v>
                </c:pt>
                <c:pt idx="11">
                  <c:v>0.53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B3-4AAC-9803-39EA1EFF1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7"/>
          <c:min val="0.2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 sz="1400"/>
                  <a:t>Gross margin %</a:t>
                </a:r>
              </a:p>
            </c:rich>
          </c:tx>
          <c:layout>
            <c:manualLayout>
              <c:xMode val="edge"/>
              <c:yMode val="edge"/>
              <c:x val="4.2115751238205344E-2"/>
              <c:y val="0.30960297722302027"/>
            </c:manualLayout>
          </c:layout>
          <c:overlay val="1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Rate of sale</a:t>
                </a:r>
              </a:p>
            </c:rich>
          </c:tx>
          <c:layout>
            <c:manualLayout>
              <c:xMode val="edge"/>
              <c:yMode val="edge"/>
              <c:x val="0.46580051016735885"/>
              <c:y val="0.87296567261535662"/>
            </c:manualLayout>
          </c:layout>
          <c:overlay val="1"/>
        </c:title>
        <c:numFmt formatCode="#,##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SKU position: rate of sale vs margin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yVal>
            <c:numRef>
              <c:f>'01_SKU_Input'!$I$4:$I$15</c:f>
              <c:numCache>
                <c:formatCode>0.0%</c:formatCode>
                <c:ptCount val="12"/>
                <c:pt idx="0">
                  <c:v>0.57999999999999996</c:v>
                </c:pt>
                <c:pt idx="1">
                  <c:v>0.62</c:v>
                </c:pt>
                <c:pt idx="2">
                  <c:v>0.64</c:v>
                </c:pt>
                <c:pt idx="3">
                  <c:v>0.36</c:v>
                </c:pt>
                <c:pt idx="4">
                  <c:v>0.55000000000000004</c:v>
                </c:pt>
                <c:pt idx="5">
                  <c:v>0.43</c:v>
                </c:pt>
                <c:pt idx="6">
                  <c:v>0.67</c:v>
                </c:pt>
                <c:pt idx="7">
                  <c:v>0.28999999999999998</c:v>
                </c:pt>
                <c:pt idx="8">
                  <c:v>0.41</c:v>
                </c:pt>
                <c:pt idx="9">
                  <c:v>0.51</c:v>
                </c:pt>
                <c:pt idx="10">
                  <c:v>0.48</c:v>
                </c:pt>
                <c:pt idx="11">
                  <c:v>0.53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6D-4D54-B5E5-F5EB7457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7"/>
          <c:min val="0.2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Gross margin %</a:t>
                </a:r>
              </a:p>
            </c:rich>
          </c:tx>
          <c:layout>
            <c:manualLayout>
              <c:xMode val="edge"/>
              <c:yMode val="edge"/>
              <c:x val="4.2115751238205344E-2"/>
              <c:y val="0.30960297722302027"/>
            </c:manualLayout>
          </c:layout>
          <c:overlay val="1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Rate of sale</a:t>
                </a:r>
              </a:p>
            </c:rich>
          </c:tx>
          <c:layout>
            <c:manualLayout>
              <c:xMode val="edge"/>
              <c:yMode val="edge"/>
              <c:x val="0.46580051016735885"/>
              <c:y val="0.87296567261535662"/>
            </c:manualLayout>
          </c:layout>
          <c:overlay val="1"/>
        </c:title>
        <c:numFmt formatCode="#,##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Portfolio matrix: commercial vs strategic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SKUs</c:v>
          </c:tx>
          <c:xVal>
            <c:numLit>
              <c:ptCount val="0"/>
            </c:numLit>
          </c:xVal>
          <c:yVal>
            <c:numRef>
              <c:f>'04_Portfolio_Matrix'!$C$4:$C$15</c:f>
              <c:numCache>
                <c:formatCode>0.0</c:formatCode>
                <c:ptCount val="12"/>
                <c:pt idx="0">
                  <c:v>32</c:v>
                </c:pt>
                <c:pt idx="1">
                  <c:v>24</c:v>
                </c:pt>
                <c:pt idx="2">
                  <c:v>25</c:v>
                </c:pt>
                <c:pt idx="3">
                  <c:v>7</c:v>
                </c:pt>
                <c:pt idx="4">
                  <c:v>25</c:v>
                </c:pt>
                <c:pt idx="5">
                  <c:v>14</c:v>
                </c:pt>
                <c:pt idx="6">
                  <c:v>21</c:v>
                </c:pt>
                <c:pt idx="7">
                  <c:v>7</c:v>
                </c:pt>
                <c:pt idx="8">
                  <c:v>14</c:v>
                </c:pt>
                <c:pt idx="9">
                  <c:v>33</c:v>
                </c:pt>
                <c:pt idx="10">
                  <c:v>8</c:v>
                </c:pt>
                <c:pt idx="11">
                  <c:v>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3-4112-B3DB-1044C4318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Strategic attractiveness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 sz="1400"/>
                  <a:t>Commercial performance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10887</xdr:colOff>
      <xdr:row>17</xdr:row>
      <xdr:rowOff>141515</xdr:rowOff>
    </xdr:from>
    <xdr:to>
      <xdr:col>4</xdr:col>
      <xdr:colOff>10887</xdr:colOff>
      <xdr:row>32</xdr:row>
      <xdr:rowOff>141515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76201</xdr:colOff>
      <xdr:row>17</xdr:row>
      <xdr:rowOff>130631</xdr:rowOff>
    </xdr:from>
    <xdr:to>
      <xdr:col>7</xdr:col>
      <xdr:colOff>1088571</xdr:colOff>
      <xdr:row>32</xdr:row>
      <xdr:rowOff>130631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128972</xdr:rowOff>
    </xdr:from>
    <xdr:to>
      <xdr:col>7</xdr:col>
      <xdr:colOff>1108363</xdr:colOff>
      <xdr:row>60</xdr:row>
      <xdr:rowOff>67734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5C0C3957-0E6C-4FFA-AB60-F96303919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731520</xdr:colOff>
      <xdr:row>19</xdr:row>
      <xdr:rowOff>106680</xdr:rowOff>
    </xdr:from>
    <xdr:to>
      <xdr:col>15</xdr:col>
      <xdr:colOff>502920</xdr:colOff>
      <xdr:row>47</xdr:row>
      <xdr:rowOff>106680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AB921B3E-DE27-468C-A780-2DBE882EF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9</xdr:row>
      <xdr:rowOff>69273</xdr:rowOff>
    </xdr:from>
    <xdr:to>
      <xdr:col>15</xdr:col>
      <xdr:colOff>259773</xdr:colOff>
      <xdr:row>39</xdr:row>
      <xdr:rowOff>34636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6"/>
  <sheetViews>
    <sheetView showGridLines="0" tabSelected="1" zoomScale="77" zoomScaleNormal="70" workbookViewId="0">
      <selection activeCell="K37" sqref="K37"/>
    </sheetView>
  </sheetViews>
  <sheetFormatPr baseColWidth="10" defaultColWidth="8.796875" defaultRowHeight="13.8"/>
  <cols>
    <col min="1" max="1" width="18.69921875" customWidth="1"/>
    <col min="2" max="2" width="15" customWidth="1"/>
    <col min="3" max="3" width="16" customWidth="1"/>
    <col min="4" max="4" width="15" customWidth="1"/>
    <col min="5" max="5" width="32" customWidth="1"/>
    <col min="6" max="6" width="14" customWidth="1"/>
    <col min="7" max="8" width="15" customWidth="1"/>
    <col min="9" max="9" width="4" customWidth="1"/>
    <col min="10" max="11" width="16" customWidth="1"/>
  </cols>
  <sheetData>
    <row r="1" spans="1:26" ht="28.05" customHeight="1">
      <c r="A1" s="39" t="s">
        <v>219</v>
      </c>
      <c r="B1" s="40"/>
      <c r="C1" s="40"/>
      <c r="D1" s="40"/>
      <c r="E1" s="40"/>
      <c r="F1" s="40"/>
      <c r="G1" s="40"/>
      <c r="H1" s="4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>
      <c r="A2" s="41"/>
      <c r="B2" s="42"/>
      <c r="C2" s="42"/>
      <c r="D2" s="42"/>
      <c r="E2" s="42"/>
      <c r="F2" s="42"/>
      <c r="G2" s="42"/>
      <c r="H2" s="42"/>
    </row>
    <row r="4" spans="1:26" s="4" customFormat="1" ht="28.8">
      <c r="A4" s="6" t="s">
        <v>220</v>
      </c>
      <c r="B4" s="6" t="s">
        <v>148</v>
      </c>
      <c r="C4" s="6" t="s">
        <v>152</v>
      </c>
      <c r="D4" s="6" t="s">
        <v>156</v>
      </c>
      <c r="E4" s="6" t="s">
        <v>159</v>
      </c>
      <c r="F4" s="6" t="s">
        <v>221</v>
      </c>
      <c r="G4" s="6" t="s">
        <v>222</v>
      </c>
      <c r="H4" s="6" t="s">
        <v>223</v>
      </c>
    </row>
    <row r="5" spans="1:26" s="4" customFormat="1" ht="23.4">
      <c r="A5" s="7">
        <f>COUNTA('03_Scoring_Model'!$A$4:$A$15)</f>
        <v>12</v>
      </c>
      <c r="B5" s="7">
        <f>COUNTIF('03_Scoring_Model'!$S$4:$S$15,"Invest")</f>
        <v>2</v>
      </c>
      <c r="C5" s="7">
        <f>COUNTIF('03_Scoring_Model'!$S$4:$S$15,"Retain")</f>
        <v>3</v>
      </c>
      <c r="D5" s="7">
        <f>COUNTIF('03_Scoring_Model'!$S$4:$S$15,"Test")</f>
        <v>4</v>
      </c>
      <c r="E5" s="7">
        <f>COUNTIF('03_Scoring_Model'!$S$4:$S$15,"Remove")</f>
        <v>3</v>
      </c>
      <c r="F5" s="8">
        <f>SUMIF('03_Scoring_Model'!$S$4:$S$15,"Remove",'03_Scoring_Model'!$D$4:$D$15)/1000</f>
        <v>425</v>
      </c>
      <c r="G5" s="8">
        <f>(SUMIF('03_Scoring_Model'!$S$4:$S$15,"Invest",'03_Scoring_Model'!$D$4:$D$15)*15%+SUMIF('03_Scoring_Model'!$S$4:$S$15,"Test",'03_Scoring_Model'!$D$4:$D$15)*8%)/1000</f>
        <v>179.55</v>
      </c>
      <c r="H5" s="9">
        <f>AVERAGE('03_Scoring_Model'!$P$4:$P$15)</f>
        <v>56.916666666666664</v>
      </c>
    </row>
    <row r="6" spans="1:26" s="4" customFormat="1" ht="43.2">
      <c r="A6" s="10" t="s">
        <v>224</v>
      </c>
      <c r="B6" s="10" t="s">
        <v>225</v>
      </c>
      <c r="C6" s="10" t="s">
        <v>226</v>
      </c>
      <c r="D6" s="10" t="s">
        <v>227</v>
      </c>
      <c r="E6" s="10" t="s">
        <v>228</v>
      </c>
      <c r="F6" s="10" t="s">
        <v>229</v>
      </c>
      <c r="G6" s="10" t="s">
        <v>230</v>
      </c>
      <c r="H6" s="10" t="s">
        <v>231</v>
      </c>
    </row>
    <row r="10" spans="1:26" ht="14.4">
      <c r="A10" s="16" t="s">
        <v>143</v>
      </c>
      <c r="B10" s="17" t="s">
        <v>232</v>
      </c>
      <c r="C10" s="18" t="s">
        <v>11</v>
      </c>
      <c r="E10" s="13" t="s">
        <v>233</v>
      </c>
      <c r="F10" s="14" t="s">
        <v>15</v>
      </c>
      <c r="G10" s="14" t="s">
        <v>12</v>
      </c>
      <c r="H10" s="15" t="s">
        <v>11</v>
      </c>
    </row>
    <row r="11" spans="1:26" ht="14.4">
      <c r="A11" s="5" t="str">
        <f>"Invest"</f>
        <v>Invest</v>
      </c>
      <c r="B11" s="5">
        <f>COUNTIF('03_Scoring_Model'!$S$4:$S$15,A11)</f>
        <v>2</v>
      </c>
      <c r="C11" s="12">
        <f>SUMIF('03_Scoring_Model'!$S$4:$S$15,A11,'03_Scoring_Model'!$D$4:$D$15)</f>
        <v>725000</v>
      </c>
      <c r="E11" s="1" t="str">
        <f>'01_SKU_Input'!B4</f>
        <v>Aura Chocolates Travel Gift Box 300g</v>
      </c>
      <c r="F11" s="1">
        <f>'01_SKU_Input'!L4</f>
        <v>72</v>
      </c>
      <c r="G11" s="2">
        <f>'01_SKU_Input'!I4</f>
        <v>0.57999999999999996</v>
      </c>
      <c r="H11" s="11">
        <f>'01_SKU_Input'!H4</f>
        <v>420000</v>
      </c>
    </row>
    <row r="12" spans="1:26" ht="14.4">
      <c r="A12" s="5" t="str">
        <f>"Retain"</f>
        <v>Retain</v>
      </c>
      <c r="B12" s="5">
        <f>COUNTIF('03_Scoring_Model'!$S$4:$S$15,A12)</f>
        <v>3</v>
      </c>
      <c r="C12" s="12">
        <f>SUMIF('03_Scoring_Model'!$S$4:$S$15,A12,'03_Scoring_Model'!$D$4:$D$15)</f>
        <v>1145000</v>
      </c>
      <c r="E12" s="1" t="str">
        <f>'01_SKU_Input'!B5</f>
        <v>Northgate Whisky Reserve 1L</v>
      </c>
      <c r="F12" s="1">
        <f>'01_SKU_Input'!L5</f>
        <v>46</v>
      </c>
      <c r="G12" s="2">
        <f>'01_SKU_Input'!I5</f>
        <v>0.62</v>
      </c>
      <c r="H12" s="11">
        <f>'01_SKU_Input'!H5</f>
        <v>510000</v>
      </c>
    </row>
    <row r="13" spans="1:26" ht="14.4">
      <c r="A13" s="5" t="str">
        <f>"Test"</f>
        <v>Test</v>
      </c>
      <c r="B13" s="5">
        <f>COUNTIF('03_Scoring_Model'!$S$4:$S$15,A13)</f>
        <v>4</v>
      </c>
      <c r="C13" s="12">
        <f>SUMIF('03_Scoring_Model'!$S$4:$S$15,A13,'03_Scoring_Model'!$D$4:$D$15)</f>
        <v>885000</v>
      </c>
      <c r="E13" s="1" t="str">
        <f>'01_SKU_Input'!B6</f>
        <v>Vela Skin Hydration Travel Duo</v>
      </c>
      <c r="F13" s="1">
        <f>'01_SKU_Input'!L6</f>
        <v>54</v>
      </c>
      <c r="G13" s="2">
        <f>'01_SKU_Input'!I6</f>
        <v>0.64</v>
      </c>
      <c r="H13" s="11">
        <f>'01_SKU_Input'!H6</f>
        <v>360000</v>
      </c>
    </row>
    <row r="14" spans="1:26" ht="14.4">
      <c r="A14" s="5" t="str">
        <f>"Remove"</f>
        <v>Remove</v>
      </c>
      <c r="B14" s="5">
        <f>COUNTIF('03_Scoring_Model'!$S$4:$S$15,A14)</f>
        <v>3</v>
      </c>
      <c r="C14" s="12">
        <f>SUMIF('03_Scoring_Model'!$S$4:$S$15,A14,'03_Scoring_Model'!$D$4:$D$15)</f>
        <v>425000</v>
      </c>
      <c r="E14" s="1" t="str">
        <f>'01_SKU_Input'!B7</f>
        <v>Pulse Energy Multipack 6x250ml</v>
      </c>
      <c r="F14" s="1">
        <f>'01_SKU_Input'!L7</f>
        <v>88</v>
      </c>
      <c r="G14" s="2">
        <f>'01_SKU_Input'!I7</f>
        <v>0.36</v>
      </c>
      <c r="H14" s="11">
        <f>'01_SKU_Input'!H7</f>
        <v>210000</v>
      </c>
    </row>
    <row r="15" spans="1:26">
      <c r="E15" s="1" t="str">
        <f>'01_SKU_Input'!B8</f>
        <v>Solara SPF Travel Kit</v>
      </c>
      <c r="F15" s="1">
        <f>'01_SKU_Input'!L8</f>
        <v>39</v>
      </c>
      <c r="G15" s="2">
        <f>'01_SKU_Input'!I8</f>
        <v>0.55000000000000004</v>
      </c>
      <c r="H15" s="11">
        <f>'01_SKU_Input'!H8</f>
        <v>295000</v>
      </c>
    </row>
    <row r="16" spans="1:26">
      <c r="E16" s="1" t="str">
        <f>'01_SKU_Input'!B9</f>
        <v>Terra Coffee Premium Tin 250g</v>
      </c>
      <c r="F16" s="1">
        <f>'01_SKU_Input'!L9</f>
        <v>28</v>
      </c>
      <c r="G16" s="2">
        <f>'01_SKU_Input'!I9</f>
        <v>0.43</v>
      </c>
      <c r="H16" s="11">
        <f>'01_SKU_Input'!H9</f>
        <v>180000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showGridLines="0" topLeftCell="B12" zoomScale="73" zoomScaleNormal="50" workbookViewId="0">
      <selection activeCell="B12" sqref="B12"/>
    </sheetView>
  </sheetViews>
  <sheetFormatPr baseColWidth="10" defaultColWidth="8.796875" defaultRowHeight="13.8"/>
  <cols>
    <col min="1" max="1" width="10" customWidth="1"/>
    <col min="2" max="2" width="34" customWidth="1"/>
    <col min="3" max="4" width="16" customWidth="1"/>
    <col min="5" max="5" width="18" customWidth="1"/>
    <col min="6" max="7" width="12" customWidth="1"/>
    <col min="8" max="9" width="14" customWidth="1"/>
    <col min="10" max="10" width="18" customWidth="1"/>
    <col min="11" max="11" width="12" customWidth="1"/>
    <col min="12" max="12" width="13" customWidth="1"/>
    <col min="13" max="13" width="14" customWidth="1"/>
    <col min="14" max="14" width="12" customWidth="1"/>
    <col min="15" max="15" width="22" customWidth="1"/>
    <col min="16" max="17" width="18" customWidth="1"/>
    <col min="18" max="18" width="20" customWidth="1"/>
    <col min="19" max="19" width="18" customWidth="1"/>
    <col min="20" max="20" width="42" customWidth="1"/>
  </cols>
  <sheetData>
    <row r="1" spans="1:26" ht="28.05" customHeight="1">
      <c r="A1" s="43" t="s">
        <v>3</v>
      </c>
      <c r="B1" s="44"/>
      <c r="C1" s="44"/>
      <c r="D1" s="44"/>
      <c r="E1" s="44"/>
      <c r="F1" s="44"/>
      <c r="G1" s="44"/>
      <c r="H1" s="4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4.4">
      <c r="A3" s="16" t="s">
        <v>4</v>
      </c>
      <c r="B3" s="17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7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17" t="s">
        <v>16</v>
      </c>
      <c r="N3" s="17" t="s">
        <v>17</v>
      </c>
      <c r="O3" s="17" t="s">
        <v>18</v>
      </c>
      <c r="P3" s="17" t="s">
        <v>19</v>
      </c>
      <c r="Q3" s="17" t="s">
        <v>20</v>
      </c>
      <c r="R3" s="17" t="s">
        <v>21</v>
      </c>
      <c r="S3" s="17" t="s">
        <v>22</v>
      </c>
      <c r="T3" s="18" t="s">
        <v>23</v>
      </c>
    </row>
    <row r="4" spans="1:26" ht="14.4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35">
        <v>18.5</v>
      </c>
      <c r="H4" s="35">
        <v>420000</v>
      </c>
      <c r="I4" s="36">
        <v>0.57999999999999996</v>
      </c>
      <c r="J4" s="28">
        <f t="shared" ref="J4:J15" si="0">H4*I4</f>
        <v>243599.99999999997</v>
      </c>
      <c r="K4" s="37">
        <v>22703</v>
      </c>
      <c r="L4" s="37">
        <v>72</v>
      </c>
      <c r="M4" s="36">
        <v>0.68</v>
      </c>
      <c r="N4" s="38">
        <v>4</v>
      </c>
      <c r="O4" s="35" t="s">
        <v>30</v>
      </c>
      <c r="P4" s="35" t="s">
        <v>31</v>
      </c>
      <c r="Q4" s="35" t="s">
        <v>32</v>
      </c>
      <c r="R4" s="35" t="s">
        <v>33</v>
      </c>
      <c r="S4" s="35" t="s">
        <v>34</v>
      </c>
      <c r="T4" s="35" t="s">
        <v>35</v>
      </c>
    </row>
    <row r="5" spans="1:26" ht="14.4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35">
        <v>49.9</v>
      </c>
      <c r="H5" s="35">
        <v>510000</v>
      </c>
      <c r="I5" s="36">
        <v>0.62</v>
      </c>
      <c r="J5" s="28">
        <f t="shared" si="0"/>
        <v>316200</v>
      </c>
      <c r="K5" s="37">
        <v>10220</v>
      </c>
      <c r="L5" s="37">
        <v>46</v>
      </c>
      <c r="M5" s="36">
        <v>0.74</v>
      </c>
      <c r="N5" s="38">
        <v>3</v>
      </c>
      <c r="O5" s="35" t="s">
        <v>42</v>
      </c>
      <c r="P5" s="35" t="s">
        <v>43</v>
      </c>
      <c r="Q5" s="35" t="s">
        <v>44</v>
      </c>
      <c r="R5" s="35" t="s">
        <v>45</v>
      </c>
      <c r="S5" s="35" t="s">
        <v>34</v>
      </c>
      <c r="T5" s="35" t="s">
        <v>46</v>
      </c>
    </row>
    <row r="6" spans="1:26" ht="14.4">
      <c r="A6" s="5" t="s">
        <v>47</v>
      </c>
      <c r="B6" s="5" t="s">
        <v>48</v>
      </c>
      <c r="C6" s="5" t="s">
        <v>49</v>
      </c>
      <c r="D6" s="5" t="s">
        <v>39</v>
      </c>
      <c r="E6" s="5" t="s">
        <v>50</v>
      </c>
      <c r="F6" s="5" t="s">
        <v>51</v>
      </c>
      <c r="G6" s="35">
        <v>32</v>
      </c>
      <c r="H6" s="35">
        <v>360000</v>
      </c>
      <c r="I6" s="36">
        <v>0.64</v>
      </c>
      <c r="J6" s="28">
        <f t="shared" si="0"/>
        <v>230400</v>
      </c>
      <c r="K6" s="37">
        <v>11250</v>
      </c>
      <c r="L6" s="37">
        <v>54</v>
      </c>
      <c r="M6" s="36">
        <v>0.52</v>
      </c>
      <c r="N6" s="38">
        <v>3</v>
      </c>
      <c r="O6" s="35" t="s">
        <v>52</v>
      </c>
      <c r="P6" s="35" t="s">
        <v>53</v>
      </c>
      <c r="Q6" s="35" t="s">
        <v>32</v>
      </c>
      <c r="R6" s="35" t="s">
        <v>54</v>
      </c>
      <c r="S6" s="35" t="s">
        <v>44</v>
      </c>
      <c r="T6" s="35" t="s">
        <v>55</v>
      </c>
    </row>
    <row r="7" spans="1:26" ht="14.4">
      <c r="A7" s="5" t="s">
        <v>56</v>
      </c>
      <c r="B7" s="5" t="s">
        <v>57</v>
      </c>
      <c r="C7" s="5" t="s">
        <v>58</v>
      </c>
      <c r="D7" s="5" t="s">
        <v>59</v>
      </c>
      <c r="E7" s="5" t="s">
        <v>60</v>
      </c>
      <c r="F7" s="5" t="s">
        <v>61</v>
      </c>
      <c r="G7" s="35">
        <v>9.5</v>
      </c>
      <c r="H7" s="35">
        <v>210000</v>
      </c>
      <c r="I7" s="36">
        <v>0.36</v>
      </c>
      <c r="J7" s="28">
        <f t="shared" si="0"/>
        <v>75600</v>
      </c>
      <c r="K7" s="37">
        <v>22105</v>
      </c>
      <c r="L7" s="37">
        <v>88</v>
      </c>
      <c r="M7" s="36">
        <v>0.82</v>
      </c>
      <c r="N7" s="38">
        <v>5</v>
      </c>
      <c r="O7" s="35" t="s">
        <v>62</v>
      </c>
      <c r="P7" s="35" t="s">
        <v>63</v>
      </c>
      <c r="Q7" s="35" t="s">
        <v>34</v>
      </c>
      <c r="R7" s="35" t="s">
        <v>64</v>
      </c>
      <c r="S7" s="35" t="s">
        <v>44</v>
      </c>
      <c r="T7" s="35" t="s">
        <v>65</v>
      </c>
    </row>
    <row r="8" spans="1:26" ht="14.4">
      <c r="A8" s="5" t="s">
        <v>66</v>
      </c>
      <c r="B8" s="5" t="s">
        <v>67</v>
      </c>
      <c r="C8" s="5" t="s">
        <v>49</v>
      </c>
      <c r="D8" s="5" t="s">
        <v>68</v>
      </c>
      <c r="E8" s="5" t="s">
        <v>69</v>
      </c>
      <c r="F8" s="5" t="s">
        <v>70</v>
      </c>
      <c r="G8" s="35">
        <v>24</v>
      </c>
      <c r="H8" s="35">
        <v>295000</v>
      </c>
      <c r="I8" s="36">
        <v>0.55000000000000004</v>
      </c>
      <c r="J8" s="28">
        <f t="shared" si="0"/>
        <v>162250</v>
      </c>
      <c r="K8" s="37">
        <v>12292</v>
      </c>
      <c r="L8" s="37">
        <v>39</v>
      </c>
      <c r="M8" s="36">
        <v>0.48</v>
      </c>
      <c r="N8" s="38">
        <v>2</v>
      </c>
      <c r="O8" s="35" t="s">
        <v>52</v>
      </c>
      <c r="P8" s="35" t="s">
        <v>71</v>
      </c>
      <c r="Q8" s="35" t="s">
        <v>32</v>
      </c>
      <c r="R8" s="35" t="s">
        <v>72</v>
      </c>
      <c r="S8" s="35" t="s">
        <v>32</v>
      </c>
      <c r="T8" s="35" t="s">
        <v>73</v>
      </c>
    </row>
    <row r="9" spans="1:26" ht="14.4">
      <c r="A9" s="5" t="s">
        <v>74</v>
      </c>
      <c r="B9" s="5" t="s">
        <v>75</v>
      </c>
      <c r="C9" s="5" t="s">
        <v>76</v>
      </c>
      <c r="D9" s="5" t="s">
        <v>39</v>
      </c>
      <c r="E9" s="5" t="s">
        <v>77</v>
      </c>
      <c r="F9" s="5" t="s">
        <v>78</v>
      </c>
      <c r="G9" s="35">
        <v>12</v>
      </c>
      <c r="H9" s="35">
        <v>180000</v>
      </c>
      <c r="I9" s="36">
        <v>0.43</v>
      </c>
      <c r="J9" s="28">
        <f t="shared" si="0"/>
        <v>77400</v>
      </c>
      <c r="K9" s="37">
        <v>15000</v>
      </c>
      <c r="L9" s="37">
        <v>28</v>
      </c>
      <c r="M9" s="36">
        <v>0.57999999999999996</v>
      </c>
      <c r="N9" s="38">
        <v>2</v>
      </c>
      <c r="O9" s="35" t="s">
        <v>79</v>
      </c>
      <c r="P9" s="35" t="s">
        <v>31</v>
      </c>
      <c r="Q9" s="35" t="s">
        <v>44</v>
      </c>
      <c r="R9" s="35" t="s">
        <v>80</v>
      </c>
      <c r="S9" s="35" t="s">
        <v>32</v>
      </c>
      <c r="T9" s="35" t="s">
        <v>81</v>
      </c>
    </row>
    <row r="10" spans="1:26" ht="14.4">
      <c r="A10" s="5" t="s">
        <v>82</v>
      </c>
      <c r="B10" s="5" t="s">
        <v>83</v>
      </c>
      <c r="C10" s="5" t="s">
        <v>49</v>
      </c>
      <c r="D10" s="5" t="s">
        <v>84</v>
      </c>
      <c r="E10" s="5" t="s">
        <v>85</v>
      </c>
      <c r="F10" s="5" t="s">
        <v>86</v>
      </c>
      <c r="G10" s="35">
        <v>39</v>
      </c>
      <c r="H10" s="35">
        <v>245000</v>
      </c>
      <c r="I10" s="36">
        <v>0.67</v>
      </c>
      <c r="J10" s="28">
        <f t="shared" si="0"/>
        <v>164150</v>
      </c>
      <c r="K10" s="37">
        <v>6282</v>
      </c>
      <c r="L10" s="37">
        <v>31</v>
      </c>
      <c r="M10" s="36">
        <v>0.34</v>
      </c>
      <c r="N10" s="38">
        <v>2</v>
      </c>
      <c r="O10" s="35" t="s">
        <v>87</v>
      </c>
      <c r="P10" s="35" t="s">
        <v>63</v>
      </c>
      <c r="Q10" s="35" t="s">
        <v>32</v>
      </c>
      <c r="R10" s="35" t="s">
        <v>72</v>
      </c>
      <c r="S10" s="35" t="s">
        <v>32</v>
      </c>
      <c r="T10" s="35" t="s">
        <v>88</v>
      </c>
    </row>
    <row r="11" spans="1:26" ht="14.4">
      <c r="A11" s="5" t="s">
        <v>89</v>
      </c>
      <c r="B11" s="5" t="s">
        <v>90</v>
      </c>
      <c r="C11" s="5" t="s">
        <v>26</v>
      </c>
      <c r="D11" s="5" t="s">
        <v>91</v>
      </c>
      <c r="E11" s="5" t="s">
        <v>92</v>
      </c>
      <c r="F11" s="5" t="s">
        <v>93</v>
      </c>
      <c r="G11" s="35">
        <v>2.5</v>
      </c>
      <c r="H11" s="35">
        <v>95000</v>
      </c>
      <c r="I11" s="36">
        <v>0.28999999999999998</v>
      </c>
      <c r="J11" s="28">
        <f t="shared" si="0"/>
        <v>27549.999999999996</v>
      </c>
      <c r="K11" s="37">
        <v>38000</v>
      </c>
      <c r="L11" s="37">
        <v>64</v>
      </c>
      <c r="M11" s="36">
        <v>0.91</v>
      </c>
      <c r="N11" s="38">
        <v>6</v>
      </c>
      <c r="O11" s="35" t="s">
        <v>62</v>
      </c>
      <c r="P11" s="35" t="s">
        <v>94</v>
      </c>
      <c r="Q11" s="35" t="s">
        <v>34</v>
      </c>
      <c r="R11" s="35" t="s">
        <v>64</v>
      </c>
      <c r="S11" s="35" t="s">
        <v>32</v>
      </c>
      <c r="T11" s="35" t="s">
        <v>95</v>
      </c>
    </row>
    <row r="12" spans="1:26" ht="14.4">
      <c r="A12" s="5" t="s">
        <v>96</v>
      </c>
      <c r="B12" s="5" t="s">
        <v>97</v>
      </c>
      <c r="C12" s="5" t="s">
        <v>98</v>
      </c>
      <c r="D12" s="5" t="s">
        <v>99</v>
      </c>
      <c r="E12" s="5" t="s">
        <v>60</v>
      </c>
      <c r="F12" s="5" t="s">
        <v>100</v>
      </c>
      <c r="G12" s="35">
        <v>16</v>
      </c>
      <c r="H12" s="35">
        <v>165000</v>
      </c>
      <c r="I12" s="36">
        <v>0.41</v>
      </c>
      <c r="J12" s="28">
        <f t="shared" si="0"/>
        <v>67650</v>
      </c>
      <c r="K12" s="37">
        <v>10313</v>
      </c>
      <c r="L12" s="37">
        <v>22</v>
      </c>
      <c r="M12" s="36">
        <v>0.44</v>
      </c>
      <c r="N12" s="38">
        <v>2</v>
      </c>
      <c r="O12" s="35" t="s">
        <v>101</v>
      </c>
      <c r="P12" s="35" t="s">
        <v>43</v>
      </c>
      <c r="Q12" s="35" t="s">
        <v>44</v>
      </c>
      <c r="R12" s="35" t="s">
        <v>80</v>
      </c>
      <c r="S12" s="35" t="s">
        <v>32</v>
      </c>
      <c r="T12" s="35" t="s">
        <v>102</v>
      </c>
    </row>
    <row r="13" spans="1:26" ht="14.4">
      <c r="A13" s="5" t="s">
        <v>103</v>
      </c>
      <c r="B13" s="5" t="s">
        <v>104</v>
      </c>
      <c r="C13" s="5" t="s">
        <v>58</v>
      </c>
      <c r="D13" s="5" t="s">
        <v>39</v>
      </c>
      <c r="E13" s="5" t="s">
        <v>40</v>
      </c>
      <c r="F13" s="5" t="s">
        <v>105</v>
      </c>
      <c r="G13" s="35">
        <v>17</v>
      </c>
      <c r="H13" s="35">
        <v>305000</v>
      </c>
      <c r="I13" s="36">
        <v>0.51</v>
      </c>
      <c r="J13" s="28">
        <f t="shared" si="0"/>
        <v>155550</v>
      </c>
      <c r="K13" s="37">
        <v>17941</v>
      </c>
      <c r="L13" s="37">
        <v>57</v>
      </c>
      <c r="M13" s="36">
        <v>0.39</v>
      </c>
      <c r="N13" s="38">
        <v>3</v>
      </c>
      <c r="O13" s="35" t="s">
        <v>30</v>
      </c>
      <c r="P13" s="35" t="s">
        <v>31</v>
      </c>
      <c r="Q13" s="35" t="s">
        <v>32</v>
      </c>
      <c r="R13" s="35" t="s">
        <v>54</v>
      </c>
      <c r="S13" s="35" t="s">
        <v>44</v>
      </c>
      <c r="T13" s="35" t="s">
        <v>106</v>
      </c>
    </row>
    <row r="14" spans="1:26" ht="14.4">
      <c r="A14" s="5" t="s">
        <v>107</v>
      </c>
      <c r="B14" s="5" t="s">
        <v>108</v>
      </c>
      <c r="C14" s="5" t="s">
        <v>49</v>
      </c>
      <c r="D14" s="5" t="s">
        <v>109</v>
      </c>
      <c r="E14" s="5" t="s">
        <v>109</v>
      </c>
      <c r="F14" s="5" t="s">
        <v>110</v>
      </c>
      <c r="G14" s="35">
        <v>14</v>
      </c>
      <c r="H14" s="35">
        <v>120000</v>
      </c>
      <c r="I14" s="36">
        <v>0.48</v>
      </c>
      <c r="J14" s="28">
        <f t="shared" si="0"/>
        <v>57600</v>
      </c>
      <c r="K14" s="37">
        <v>8571</v>
      </c>
      <c r="L14" s="37">
        <v>18</v>
      </c>
      <c r="M14" s="36">
        <v>0.62</v>
      </c>
      <c r="N14" s="38">
        <v>2</v>
      </c>
      <c r="O14" s="35" t="s">
        <v>52</v>
      </c>
      <c r="P14" s="35" t="s">
        <v>53</v>
      </c>
      <c r="Q14" s="35" t="s">
        <v>44</v>
      </c>
      <c r="R14" s="35" t="s">
        <v>111</v>
      </c>
      <c r="S14" s="35" t="s">
        <v>32</v>
      </c>
      <c r="T14" s="35" t="s">
        <v>112</v>
      </c>
    </row>
    <row r="15" spans="1:26" ht="14.4">
      <c r="A15" s="5" t="s">
        <v>113</v>
      </c>
      <c r="B15" s="5" t="s">
        <v>114</v>
      </c>
      <c r="C15" s="5" t="s">
        <v>76</v>
      </c>
      <c r="D15" s="5" t="s">
        <v>27</v>
      </c>
      <c r="E15" s="5" t="s">
        <v>115</v>
      </c>
      <c r="F15" s="5" t="s">
        <v>116</v>
      </c>
      <c r="G15" s="35">
        <v>22</v>
      </c>
      <c r="H15" s="35">
        <v>275000</v>
      </c>
      <c r="I15" s="36">
        <v>0.53</v>
      </c>
      <c r="J15" s="28">
        <f t="shared" si="0"/>
        <v>145750</v>
      </c>
      <c r="K15" s="37">
        <v>12500</v>
      </c>
      <c r="L15" s="37">
        <v>35</v>
      </c>
      <c r="M15" s="36">
        <v>0.46</v>
      </c>
      <c r="N15" s="38">
        <v>2</v>
      </c>
      <c r="O15" s="35" t="s">
        <v>79</v>
      </c>
      <c r="P15" s="35" t="s">
        <v>31</v>
      </c>
      <c r="Q15" s="35" t="s">
        <v>32</v>
      </c>
      <c r="R15" s="35" t="s">
        <v>45</v>
      </c>
      <c r="S15" s="35" t="s">
        <v>44</v>
      </c>
      <c r="T15" s="35" t="s">
        <v>117</v>
      </c>
    </row>
  </sheetData>
  <mergeCells count="1">
    <mergeCell ref="A1:H1"/>
  </mergeCells>
  <dataValidations count="2">
    <dataValidation type="list" sqref="Q4:Q39 S4:S39" xr:uid="{00000000-0002-0000-0100-000000000000}">
      <formula1>"Low,Medium,High"</formula1>
    </dataValidation>
    <dataValidation type="list" sqref="R4:R39" xr:uid="{00000000-0002-0000-0100-000001000000}">
      <formula1>"Hero,Traffic driver,Margin builder,Premiumiser,Recruitment SKU,Seasonal/test SKU,Duplicative SKU"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"/>
  <sheetViews>
    <sheetView showGridLines="0" topLeftCell="A41" workbookViewId="0">
      <selection activeCell="C6" sqref="C6"/>
    </sheetView>
  </sheetViews>
  <sheetFormatPr baseColWidth="10" defaultColWidth="8.796875" defaultRowHeight="13.8"/>
  <cols>
    <col min="1" max="1" width="23.8984375" bestFit="1" customWidth="1"/>
    <col min="2" max="2" width="14.59765625" bestFit="1" customWidth="1"/>
    <col min="3" max="3" width="45.8984375" bestFit="1" customWidth="1"/>
    <col min="4" max="4" width="18" customWidth="1"/>
    <col min="5" max="5" width="10" customWidth="1"/>
    <col min="6" max="6" width="30" customWidth="1"/>
    <col min="8" max="8" width="18" customWidth="1"/>
    <col min="9" max="9" width="10" customWidth="1"/>
    <col min="10" max="10" width="22" customWidth="1"/>
    <col min="11" max="11" width="52" customWidth="1"/>
  </cols>
  <sheetData>
    <row r="1" spans="1:26" ht="28.05" customHeight="1">
      <c r="A1" s="43" t="s">
        <v>118</v>
      </c>
      <c r="B1" s="44"/>
      <c r="C1" s="44"/>
      <c r="D1" s="44"/>
      <c r="E1" s="44"/>
      <c r="F1" s="44"/>
      <c r="G1" s="44"/>
      <c r="H1" s="4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4.4">
      <c r="A3" s="16" t="s">
        <v>119</v>
      </c>
      <c r="B3" s="18" t="s">
        <v>120</v>
      </c>
    </row>
    <row r="4" spans="1:26" ht="14.4">
      <c r="A4" s="5" t="s">
        <v>125</v>
      </c>
      <c r="B4" s="34">
        <v>0.2</v>
      </c>
    </row>
    <row r="5" spans="1:26" ht="14.4">
      <c r="A5" s="5" t="s">
        <v>128</v>
      </c>
      <c r="B5" s="34">
        <v>0.2</v>
      </c>
    </row>
    <row r="6" spans="1:26" ht="14.4">
      <c r="A6" s="5" t="s">
        <v>15</v>
      </c>
      <c r="B6" s="34">
        <v>0.15</v>
      </c>
    </row>
    <row r="7" spans="1:26" ht="14.4">
      <c r="A7" s="5" t="s">
        <v>133</v>
      </c>
      <c r="B7" s="34">
        <v>0.15</v>
      </c>
    </row>
    <row r="8" spans="1:26" ht="14.4">
      <c r="A8" s="5" t="s">
        <v>136</v>
      </c>
      <c r="B8" s="34">
        <v>0.1</v>
      </c>
    </row>
    <row r="9" spans="1:26" ht="14.4">
      <c r="A9" s="5" t="s">
        <v>21</v>
      </c>
      <c r="B9" s="34">
        <v>0.1</v>
      </c>
    </row>
    <row r="10" spans="1:26" ht="14.4">
      <c r="A10" s="5" t="s">
        <v>139</v>
      </c>
      <c r="B10" s="34">
        <v>-0.1</v>
      </c>
    </row>
    <row r="13" spans="1:26" ht="14.4">
      <c r="A13" s="16" t="s">
        <v>140</v>
      </c>
      <c r="B13" s="17" t="s">
        <v>122</v>
      </c>
      <c r="C13" s="18" t="s">
        <v>141</v>
      </c>
    </row>
    <row r="14" spans="1:26" ht="14.4">
      <c r="A14" s="5" t="s">
        <v>33</v>
      </c>
      <c r="B14" s="5">
        <v>5</v>
      </c>
      <c r="C14" s="5" t="s">
        <v>146</v>
      </c>
    </row>
    <row r="15" spans="1:26" ht="14.4">
      <c r="A15" s="5" t="s">
        <v>45</v>
      </c>
      <c r="B15" s="5">
        <v>5</v>
      </c>
      <c r="C15" s="5" t="s">
        <v>150</v>
      </c>
    </row>
    <row r="16" spans="1:26" ht="14.4">
      <c r="A16" s="5" t="s">
        <v>54</v>
      </c>
      <c r="B16" s="5">
        <v>4</v>
      </c>
      <c r="C16" s="5" t="s">
        <v>154</v>
      </c>
    </row>
    <row r="17" spans="1:3" ht="14.4">
      <c r="A17" s="5" t="s">
        <v>72</v>
      </c>
      <c r="B17" s="5">
        <v>4</v>
      </c>
      <c r="C17" s="5" t="s">
        <v>158</v>
      </c>
    </row>
    <row r="18" spans="1:3" ht="14.4">
      <c r="A18" s="5" t="s">
        <v>64</v>
      </c>
      <c r="B18" s="5">
        <v>3</v>
      </c>
      <c r="C18" s="5" t="s">
        <v>161</v>
      </c>
    </row>
    <row r="19" spans="1:3" ht="14.4">
      <c r="A19" s="5" t="s">
        <v>80</v>
      </c>
      <c r="B19" s="5">
        <v>3</v>
      </c>
      <c r="C19" s="5" t="s">
        <v>162</v>
      </c>
    </row>
    <row r="20" spans="1:3" ht="14.4">
      <c r="A20" s="5" t="s">
        <v>111</v>
      </c>
      <c r="B20" s="5">
        <v>1</v>
      </c>
      <c r="C20" s="5" t="s">
        <v>163</v>
      </c>
    </row>
    <row r="22" spans="1:3" ht="14.4">
      <c r="A22" s="16" t="s">
        <v>121</v>
      </c>
      <c r="B22" s="17" t="s">
        <v>122</v>
      </c>
      <c r="C22" s="18" t="s">
        <v>123</v>
      </c>
    </row>
    <row r="23" spans="1:3" ht="14.4">
      <c r="A23" s="12">
        <v>350000</v>
      </c>
      <c r="B23" s="5">
        <v>5</v>
      </c>
      <c r="C23" s="5" t="s">
        <v>126</v>
      </c>
    </row>
    <row r="24" spans="1:3" ht="14.4">
      <c r="A24" s="12">
        <v>260000</v>
      </c>
      <c r="B24" s="5">
        <v>4</v>
      </c>
      <c r="C24" s="5" t="s">
        <v>129</v>
      </c>
    </row>
    <row r="25" spans="1:3" ht="14.4">
      <c r="A25" s="12">
        <v>170000</v>
      </c>
      <c r="B25" s="5">
        <v>3</v>
      </c>
      <c r="C25" s="5" t="s">
        <v>131</v>
      </c>
    </row>
    <row r="26" spans="1:3" ht="14.4">
      <c r="A26" s="12">
        <v>100000</v>
      </c>
      <c r="B26" s="5">
        <v>2</v>
      </c>
      <c r="C26" s="5" t="s">
        <v>134</v>
      </c>
    </row>
    <row r="27" spans="1:3" ht="14.4">
      <c r="A27" s="12">
        <v>0</v>
      </c>
      <c r="B27" s="5">
        <v>1</v>
      </c>
      <c r="C27" s="5" t="s">
        <v>137</v>
      </c>
    </row>
    <row r="30" spans="1:3" ht="14.4">
      <c r="A30" s="16" t="s">
        <v>20</v>
      </c>
      <c r="B30" s="17" t="s">
        <v>142</v>
      </c>
      <c r="C30" s="18" t="s">
        <v>141</v>
      </c>
    </row>
    <row r="31" spans="1:3" ht="14.4">
      <c r="A31" s="5" t="s">
        <v>32</v>
      </c>
      <c r="B31" s="5">
        <v>0</v>
      </c>
      <c r="C31" s="5" t="s">
        <v>147</v>
      </c>
    </row>
    <row r="32" spans="1:3" ht="14.4">
      <c r="A32" s="5" t="s">
        <v>44</v>
      </c>
      <c r="B32" s="5">
        <v>-5</v>
      </c>
      <c r="C32" s="5" t="s">
        <v>151</v>
      </c>
    </row>
    <row r="33" spans="1:3" ht="14.4">
      <c r="A33" s="5" t="s">
        <v>34</v>
      </c>
      <c r="B33" s="5">
        <v>-10</v>
      </c>
      <c r="C33" s="5" t="s">
        <v>155</v>
      </c>
    </row>
    <row r="35" spans="1:3" ht="14.4">
      <c r="A35" s="16" t="s">
        <v>124</v>
      </c>
      <c r="B35" s="17" t="s">
        <v>122</v>
      </c>
      <c r="C35" s="18" t="s">
        <v>123</v>
      </c>
    </row>
    <row r="36" spans="1:3" ht="14.4">
      <c r="A36" s="34">
        <v>0.6</v>
      </c>
      <c r="B36" s="5">
        <v>5</v>
      </c>
      <c r="C36" s="5" t="s">
        <v>127</v>
      </c>
    </row>
    <row r="37" spans="1:3" ht="14.4">
      <c r="A37" s="34">
        <v>0.5</v>
      </c>
      <c r="B37" s="5">
        <v>4</v>
      </c>
      <c r="C37" s="5" t="s">
        <v>130</v>
      </c>
    </row>
    <row r="38" spans="1:3" ht="14.4">
      <c r="A38" s="34">
        <v>0.4</v>
      </c>
      <c r="B38" s="5">
        <v>3</v>
      </c>
      <c r="C38" s="5" t="s">
        <v>132</v>
      </c>
    </row>
    <row r="39" spans="1:3" ht="14.4">
      <c r="A39" s="34">
        <v>0.3</v>
      </c>
      <c r="B39" s="5">
        <v>2</v>
      </c>
      <c r="C39" s="5" t="s">
        <v>135</v>
      </c>
    </row>
    <row r="40" spans="1:3" ht="14.4">
      <c r="A40" s="34">
        <v>0</v>
      </c>
      <c r="B40" s="5">
        <v>1</v>
      </c>
      <c r="C40" s="5" t="s">
        <v>138</v>
      </c>
    </row>
    <row r="42" spans="1:3" ht="14.4">
      <c r="A42" s="31" t="s">
        <v>143</v>
      </c>
      <c r="B42" s="32" t="s">
        <v>144</v>
      </c>
      <c r="C42" s="33" t="s">
        <v>145</v>
      </c>
    </row>
    <row r="43" spans="1:3" ht="14.4">
      <c r="A43" s="5" t="s">
        <v>148</v>
      </c>
      <c r="B43" s="5">
        <v>65</v>
      </c>
      <c r="C43" s="5" t="s">
        <v>149</v>
      </c>
    </row>
    <row r="44" spans="1:3" ht="14.4">
      <c r="A44" s="5" t="s">
        <v>152</v>
      </c>
      <c r="B44" s="5">
        <v>50</v>
      </c>
      <c r="C44" s="5" t="s">
        <v>153</v>
      </c>
    </row>
    <row r="45" spans="1:3" ht="14.4">
      <c r="A45" s="5" t="s">
        <v>156</v>
      </c>
      <c r="B45" s="5">
        <v>50</v>
      </c>
      <c r="C45" s="5" t="s">
        <v>157</v>
      </c>
    </row>
    <row r="46" spans="1:3" ht="14.4">
      <c r="A46" s="5" t="s">
        <v>159</v>
      </c>
      <c r="B46" s="5">
        <v>0</v>
      </c>
      <c r="C46" s="5" t="s">
        <v>160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showGridLines="0" workbookViewId="0">
      <selection activeCell="A4" sqref="A4"/>
    </sheetView>
  </sheetViews>
  <sheetFormatPr baseColWidth="10" defaultColWidth="8.796875" defaultRowHeight="13.8"/>
  <cols>
    <col min="1" max="1" width="10" customWidth="1"/>
    <col min="2" max="2" width="34" customWidth="1"/>
    <col min="3" max="3" width="16" customWidth="1"/>
    <col min="4" max="4" width="14" customWidth="1"/>
    <col min="5" max="5" width="10" customWidth="1"/>
    <col min="6" max="6" width="13" customWidth="1"/>
    <col min="7" max="7" width="14" customWidth="1"/>
    <col min="8" max="8" width="18" customWidth="1"/>
    <col min="9" max="11" width="12" customWidth="1"/>
    <col min="12" max="12" width="15" customWidth="1"/>
    <col min="13" max="14" width="12" customWidth="1"/>
    <col min="15" max="15" width="15" customWidth="1"/>
    <col min="16" max="16" width="12" customWidth="1"/>
    <col min="17" max="18" width="14" customWidth="1"/>
    <col min="19" max="19" width="15" customWidth="1"/>
    <col min="20" max="20" width="24" customWidth="1"/>
  </cols>
  <sheetData>
    <row r="1" spans="1:26" ht="28.05" customHeight="1">
      <c r="A1" s="39" t="s">
        <v>164</v>
      </c>
      <c r="B1" s="40"/>
      <c r="C1" s="40"/>
      <c r="D1" s="40"/>
      <c r="E1" s="40"/>
      <c r="F1" s="40"/>
      <c r="G1" s="40"/>
      <c r="H1" s="4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4.4">
      <c r="A3" s="16" t="s">
        <v>4</v>
      </c>
      <c r="B3" s="17" t="s">
        <v>5</v>
      </c>
      <c r="C3" s="17" t="s">
        <v>6</v>
      </c>
      <c r="D3" s="17" t="s">
        <v>11</v>
      </c>
      <c r="E3" s="17" t="s">
        <v>165</v>
      </c>
      <c r="F3" s="17" t="s">
        <v>15</v>
      </c>
      <c r="G3" s="17" t="s">
        <v>16</v>
      </c>
      <c r="H3" s="17" t="s">
        <v>21</v>
      </c>
      <c r="I3" s="17" t="s">
        <v>166</v>
      </c>
      <c r="J3" s="17" t="s">
        <v>167</v>
      </c>
      <c r="K3" s="17" t="s">
        <v>168</v>
      </c>
      <c r="L3" s="17" t="s">
        <v>169</v>
      </c>
      <c r="M3" s="17" t="s">
        <v>136</v>
      </c>
      <c r="N3" s="17" t="s">
        <v>170</v>
      </c>
      <c r="O3" s="17" t="s">
        <v>171</v>
      </c>
      <c r="P3" s="17" t="s">
        <v>172</v>
      </c>
      <c r="Q3" s="17" t="s">
        <v>173</v>
      </c>
      <c r="R3" s="17" t="s">
        <v>174</v>
      </c>
      <c r="S3" s="17" t="s">
        <v>143</v>
      </c>
      <c r="T3" s="18" t="s">
        <v>175</v>
      </c>
    </row>
    <row r="4" spans="1:26" ht="14.4">
      <c r="A4" s="5" t="str">
        <f>'01_SKU_Input'!A4</f>
        <v>SKU 01</v>
      </c>
      <c r="B4" s="5" t="str">
        <f>'01_SKU_Input'!B4</f>
        <v>Aura Chocolates Travel Gift Box 300g</v>
      </c>
      <c r="C4" s="5" t="str">
        <f>'01_SKU_Input'!C4</f>
        <v>Confectionery</v>
      </c>
      <c r="D4" s="12">
        <f>'01_SKU_Input'!H4</f>
        <v>420000</v>
      </c>
      <c r="E4" s="19">
        <f>'01_SKU_Input'!I4</f>
        <v>0.57999999999999996</v>
      </c>
      <c r="F4" s="5">
        <f>'01_SKU_Input'!L4</f>
        <v>72</v>
      </c>
      <c r="G4" s="19">
        <f>'01_SKU_Input'!M4</f>
        <v>0.68</v>
      </c>
      <c r="H4" s="5" t="str">
        <f>'01_SKU_Input'!R4</f>
        <v>Hero</v>
      </c>
      <c r="I4" s="28">
        <f t="shared" ref="I4:I15" si="0">IF(D4&gt;=350000,5,IF(D4&gt;=260000,4,IF(D4&gt;=170000,3,IF(D4&gt;=100000,2,1))))</f>
        <v>5</v>
      </c>
      <c r="J4" s="28">
        <f t="shared" ref="J4:J15" si="1">IF(E4&gt;=60%,5,IF(E4&gt;=50%,4,IF(E4&gt;=40%,3,IF(E4&gt;=30%,2,1))))</f>
        <v>4</v>
      </c>
      <c r="K4" s="28">
        <f t="shared" ref="K4:K15" si="2">IF(F4&gt;=75,5,IF(F4&gt;=55,4,IF(F4&gt;=35,3,IF(F4&gt;=20,2,1))))</f>
        <v>4</v>
      </c>
      <c r="L4" s="28">
        <f t="shared" ref="L4:L15" si="3">IF(AND(K4&gt;=4,G4&lt;60%),5,IF(AND(K4&gt;=4,G4&lt;80%),4,IF(AND(K4&gt;=3,G4&lt;80%),3,IF(AND(K4&lt;=2,G4&gt;=75%),2,1))))</f>
        <v>4</v>
      </c>
      <c r="M4" s="28">
        <f>IF(OR(ISNUMBER(SEARCH("Gift",'01_SKU_Input'!O4)),ISNUMBER(SEARCH("travel",'01_SKU_Input'!O4)),ISNUMBER(SEARCH("Premium",'01_SKU_Input'!O4)),ISNUMBER(SEARCH("Discovery",'01_SKU_Input'!O4)),ISNUMBER(SEARCH("Destination",'01_SKU_Input'!O4))),5,IF(OR(ISNUMBER(SEARCH("Impulse",'01_SKU_Input'!O4)),ISNUMBER(SEARCH("Replenishment",'01_SKU_Input'!O4)),ISNUMBER(SEARCH("Business",'01_SKU_Input'!O4))),4,3))</f>
        <v>5</v>
      </c>
      <c r="N4" s="28">
        <f t="shared" ref="N4:N15" si="4">IF(H4="Hero",5,IF(H4="Margin builder",5,IF(H4="Premiumiser",4,IF(H4="Recruitment SKU",4,IF(H4="Traffic driver",3,IF(H4="Seasonal/test SKU",3,1))))))</f>
        <v>5</v>
      </c>
      <c r="O4" s="28">
        <f>IF('01_SKU_Input'!Q4="High",-10,IF('01_SKU_Input'!Q4="Medium",-5,0))</f>
        <v>0</v>
      </c>
      <c r="P4" s="29">
        <f>I4*'02_Assumptions'!$B$4/5*100+J4*'02_Assumptions'!$B$5/5*100+K4*'02_Assumptions'!$B$6/5*100+L4*'02_Assumptions'!$B$7/5*100+M4*'02_Assumptions'!$B$8/5*100+N4*'02_Assumptions'!$B$9/5*100+O4</f>
        <v>80</v>
      </c>
      <c r="Q4" s="29">
        <f t="shared" ref="Q4:Q15" si="5">I4*20/5+J4*20/5+K4*15/5</f>
        <v>48</v>
      </c>
      <c r="R4" s="29">
        <f t="shared" ref="R4:R15" si="6">L4*15/5+M4*10/5+N4*10/5+O4</f>
        <v>32</v>
      </c>
      <c r="S4" s="30" t="str">
        <f t="shared" ref="S4:S15" si="7">IF(AND(P4&gt;=65,J4&gt;=4,K4&gt;=4,O4&gt;=-5),"Invest",IF(AND(P4&gt;=40,G4&lt;60%,OR(H4="Recruitment SKU",H4="Seasonal/test SKU")),"Test",IF(P4&gt;=50,"Retain","Remove")))</f>
        <v>Invest</v>
      </c>
      <c r="T4" s="30" t="str">
        <f t="shared" ref="T4:T15" si="8">IF(AND(Q4&gt;=35,R4&gt;=20),"Winners",IF(AND(Q4&gt;=35,R4&lt;20),"Efficient but not priority",IF(AND(Q4&lt;35,R4&gt;=20),"Potential bets","Weak tail")))</f>
        <v>Winners</v>
      </c>
    </row>
    <row r="5" spans="1:26" ht="14.4">
      <c r="A5" s="5" t="str">
        <f>'01_SKU_Input'!A5</f>
        <v>SKU 02</v>
      </c>
      <c r="B5" s="5" t="str">
        <f>'01_SKU_Input'!B5</f>
        <v>Northgate Whisky Reserve 1L</v>
      </c>
      <c r="C5" s="5" t="str">
        <f>'01_SKU_Input'!C5</f>
        <v>Spirits</v>
      </c>
      <c r="D5" s="12">
        <f>'01_SKU_Input'!H5</f>
        <v>510000</v>
      </c>
      <c r="E5" s="19">
        <f>'01_SKU_Input'!I5</f>
        <v>0.62</v>
      </c>
      <c r="F5" s="5">
        <f>'01_SKU_Input'!L5</f>
        <v>46</v>
      </c>
      <c r="G5" s="19">
        <f>'01_SKU_Input'!M5</f>
        <v>0.74</v>
      </c>
      <c r="H5" s="5" t="str">
        <f>'01_SKU_Input'!R5</f>
        <v>Margin builder</v>
      </c>
      <c r="I5" s="28">
        <f t="shared" si="0"/>
        <v>5</v>
      </c>
      <c r="J5" s="28">
        <f t="shared" si="1"/>
        <v>5</v>
      </c>
      <c r="K5" s="28">
        <f t="shared" si="2"/>
        <v>3</v>
      </c>
      <c r="L5" s="28">
        <f t="shared" si="3"/>
        <v>3</v>
      </c>
      <c r="M5" s="28">
        <f>IF(OR(ISNUMBER(SEARCH("Gift",'01_SKU_Input'!O5)),ISNUMBER(SEARCH("travel",'01_SKU_Input'!O5)),ISNUMBER(SEARCH("Premium",'01_SKU_Input'!O5)),ISNUMBER(SEARCH("Discovery",'01_SKU_Input'!O5)),ISNUMBER(SEARCH("Destination",'01_SKU_Input'!O5))),5,IF(OR(ISNUMBER(SEARCH("Impulse",'01_SKU_Input'!O5)),ISNUMBER(SEARCH("Replenishment",'01_SKU_Input'!O5)),ISNUMBER(SEARCH("Business",'01_SKU_Input'!O5))),4,3))</f>
        <v>5</v>
      </c>
      <c r="N5" s="28">
        <f t="shared" si="4"/>
        <v>5</v>
      </c>
      <c r="O5" s="28">
        <f>IF('01_SKU_Input'!Q5="High",-10,IF('01_SKU_Input'!Q5="Medium",-5,0))</f>
        <v>-5</v>
      </c>
      <c r="P5" s="29">
        <f>I5*'02_Assumptions'!$B$4/5*100+J5*'02_Assumptions'!$B$5/5*100+K5*'02_Assumptions'!$B$6/5*100+L5*'02_Assumptions'!$B$7/5*100+M5*'02_Assumptions'!$B$8/5*100+N5*'02_Assumptions'!$B$9/5*100+O5</f>
        <v>73</v>
      </c>
      <c r="Q5" s="29">
        <f t="shared" si="5"/>
        <v>49</v>
      </c>
      <c r="R5" s="29">
        <f t="shared" si="6"/>
        <v>24</v>
      </c>
      <c r="S5" s="30" t="str">
        <f t="shared" si="7"/>
        <v>Retain</v>
      </c>
      <c r="T5" s="30" t="str">
        <f t="shared" si="8"/>
        <v>Winners</v>
      </c>
    </row>
    <row r="6" spans="1:26" ht="14.4">
      <c r="A6" s="5" t="str">
        <f>'01_SKU_Input'!A6</f>
        <v>SKU 03</v>
      </c>
      <c r="B6" s="5" t="str">
        <f>'01_SKU_Input'!B6</f>
        <v>Vela Skin Hydration Travel Duo</v>
      </c>
      <c r="C6" s="5" t="str">
        <f>'01_SKU_Input'!C6</f>
        <v>Beauty</v>
      </c>
      <c r="D6" s="12">
        <f>'01_SKU_Input'!H6</f>
        <v>360000</v>
      </c>
      <c r="E6" s="19">
        <f>'01_SKU_Input'!I6</f>
        <v>0.64</v>
      </c>
      <c r="F6" s="5">
        <f>'01_SKU_Input'!L6</f>
        <v>54</v>
      </c>
      <c r="G6" s="19">
        <f>'01_SKU_Input'!M6</f>
        <v>0.52</v>
      </c>
      <c r="H6" s="5" t="str">
        <f>'01_SKU_Input'!R6</f>
        <v>Premiumiser</v>
      </c>
      <c r="I6" s="28">
        <f t="shared" si="0"/>
        <v>5</v>
      </c>
      <c r="J6" s="28">
        <f t="shared" si="1"/>
        <v>5</v>
      </c>
      <c r="K6" s="28">
        <f t="shared" si="2"/>
        <v>3</v>
      </c>
      <c r="L6" s="28">
        <f t="shared" si="3"/>
        <v>3</v>
      </c>
      <c r="M6" s="28">
        <f>IF(OR(ISNUMBER(SEARCH("Gift",'01_SKU_Input'!O6)),ISNUMBER(SEARCH("travel",'01_SKU_Input'!O6)),ISNUMBER(SEARCH("Premium",'01_SKU_Input'!O6)),ISNUMBER(SEARCH("Discovery",'01_SKU_Input'!O6)),ISNUMBER(SEARCH("Destination",'01_SKU_Input'!O6))),5,IF(OR(ISNUMBER(SEARCH("Impulse",'01_SKU_Input'!O6)),ISNUMBER(SEARCH("Replenishment",'01_SKU_Input'!O6)),ISNUMBER(SEARCH("Business",'01_SKU_Input'!O6))),4,3))</f>
        <v>4</v>
      </c>
      <c r="N6" s="28">
        <f t="shared" si="4"/>
        <v>4</v>
      </c>
      <c r="O6" s="28">
        <f>IF('01_SKU_Input'!Q6="High",-10,IF('01_SKU_Input'!Q6="Medium",-5,0))</f>
        <v>0</v>
      </c>
      <c r="P6" s="29">
        <f>I6*'02_Assumptions'!$B$4/5*100+J6*'02_Assumptions'!$B$5/5*100+K6*'02_Assumptions'!$B$6/5*100+L6*'02_Assumptions'!$B$7/5*100+M6*'02_Assumptions'!$B$8/5*100+N6*'02_Assumptions'!$B$9/5*100+O6</f>
        <v>74</v>
      </c>
      <c r="Q6" s="29">
        <f t="shared" si="5"/>
        <v>49</v>
      </c>
      <c r="R6" s="29">
        <f t="shared" si="6"/>
        <v>25</v>
      </c>
      <c r="S6" s="30" t="str">
        <f t="shared" si="7"/>
        <v>Retain</v>
      </c>
      <c r="T6" s="30" t="str">
        <f t="shared" si="8"/>
        <v>Winners</v>
      </c>
    </row>
    <row r="7" spans="1:26" ht="14.4">
      <c r="A7" s="5" t="str">
        <f>'01_SKU_Input'!A7</f>
        <v>SKU 04</v>
      </c>
      <c r="B7" s="5" t="str">
        <f>'01_SKU_Input'!B7</f>
        <v>Pulse Energy Multipack 6x250ml</v>
      </c>
      <c r="C7" s="5" t="str">
        <f>'01_SKU_Input'!C7</f>
        <v>Beverage</v>
      </c>
      <c r="D7" s="12">
        <f>'01_SKU_Input'!H7</f>
        <v>210000</v>
      </c>
      <c r="E7" s="19">
        <f>'01_SKU_Input'!I7</f>
        <v>0.36</v>
      </c>
      <c r="F7" s="5">
        <f>'01_SKU_Input'!L7</f>
        <v>88</v>
      </c>
      <c r="G7" s="19">
        <f>'01_SKU_Input'!M7</f>
        <v>0.82</v>
      </c>
      <c r="H7" s="5" t="str">
        <f>'01_SKU_Input'!R7</f>
        <v>Traffic driver</v>
      </c>
      <c r="I7" s="28">
        <f t="shared" si="0"/>
        <v>3</v>
      </c>
      <c r="J7" s="28">
        <f t="shared" si="1"/>
        <v>2</v>
      </c>
      <c r="K7" s="28">
        <f t="shared" si="2"/>
        <v>5</v>
      </c>
      <c r="L7" s="28">
        <f t="shared" si="3"/>
        <v>1</v>
      </c>
      <c r="M7" s="28">
        <f>IF(OR(ISNUMBER(SEARCH("Gift",'01_SKU_Input'!O7)),ISNUMBER(SEARCH("travel",'01_SKU_Input'!O7)),ISNUMBER(SEARCH("Premium",'01_SKU_Input'!O7)),ISNUMBER(SEARCH("Discovery",'01_SKU_Input'!O7)),ISNUMBER(SEARCH("Destination",'01_SKU_Input'!O7))),5,IF(OR(ISNUMBER(SEARCH("Impulse",'01_SKU_Input'!O7)),ISNUMBER(SEARCH("Replenishment",'01_SKU_Input'!O7)),ISNUMBER(SEARCH("Business",'01_SKU_Input'!O7))),4,3))</f>
        <v>4</v>
      </c>
      <c r="N7" s="28">
        <f t="shared" si="4"/>
        <v>3</v>
      </c>
      <c r="O7" s="28">
        <f>IF('01_SKU_Input'!Q7="High",-10,IF('01_SKU_Input'!Q7="Medium",-5,0))</f>
        <v>-10</v>
      </c>
      <c r="P7" s="29">
        <f>I7*'02_Assumptions'!$B$4/5*100+J7*'02_Assumptions'!$B$5/5*100+K7*'02_Assumptions'!$B$6/5*100+L7*'02_Assumptions'!$B$7/5*100+M7*'02_Assumptions'!$B$8/5*100+N7*'02_Assumptions'!$B$9/5*100+O7</f>
        <v>42</v>
      </c>
      <c r="Q7" s="29">
        <f t="shared" si="5"/>
        <v>35</v>
      </c>
      <c r="R7" s="29">
        <f t="shared" si="6"/>
        <v>7</v>
      </c>
      <c r="S7" s="30" t="str">
        <f t="shared" si="7"/>
        <v>Remove</v>
      </c>
      <c r="T7" s="30" t="str">
        <f t="shared" si="8"/>
        <v>Efficient but not priority</v>
      </c>
    </row>
    <row r="8" spans="1:26" ht="14.4">
      <c r="A8" s="5" t="str">
        <f>'01_SKU_Input'!A8</f>
        <v>SKU 05</v>
      </c>
      <c r="B8" s="5" t="str">
        <f>'01_SKU_Input'!B8</f>
        <v>Solara SPF Travel Kit</v>
      </c>
      <c r="C8" s="5" t="str">
        <f>'01_SKU_Input'!C8</f>
        <v>Beauty</v>
      </c>
      <c r="D8" s="12">
        <f>'01_SKU_Input'!H8</f>
        <v>295000</v>
      </c>
      <c r="E8" s="19">
        <f>'01_SKU_Input'!I8</f>
        <v>0.55000000000000004</v>
      </c>
      <c r="F8" s="5">
        <f>'01_SKU_Input'!L8</f>
        <v>39</v>
      </c>
      <c r="G8" s="19">
        <f>'01_SKU_Input'!M8</f>
        <v>0.48</v>
      </c>
      <c r="H8" s="5" t="str">
        <f>'01_SKU_Input'!R8</f>
        <v>Recruitment SKU</v>
      </c>
      <c r="I8" s="28">
        <f t="shared" si="0"/>
        <v>4</v>
      </c>
      <c r="J8" s="28">
        <f t="shared" si="1"/>
        <v>4</v>
      </c>
      <c r="K8" s="28">
        <f t="shared" si="2"/>
        <v>3</v>
      </c>
      <c r="L8" s="28">
        <f t="shared" si="3"/>
        <v>3</v>
      </c>
      <c r="M8" s="28">
        <f>IF(OR(ISNUMBER(SEARCH("Gift",'01_SKU_Input'!O8)),ISNUMBER(SEARCH("travel",'01_SKU_Input'!O8)),ISNUMBER(SEARCH("Premium",'01_SKU_Input'!O8)),ISNUMBER(SEARCH("Discovery",'01_SKU_Input'!O8)),ISNUMBER(SEARCH("Destination",'01_SKU_Input'!O8))),5,IF(OR(ISNUMBER(SEARCH("Impulse",'01_SKU_Input'!O8)),ISNUMBER(SEARCH("Replenishment",'01_SKU_Input'!O8)),ISNUMBER(SEARCH("Business",'01_SKU_Input'!O8))),4,3))</f>
        <v>4</v>
      </c>
      <c r="N8" s="28">
        <f t="shared" si="4"/>
        <v>4</v>
      </c>
      <c r="O8" s="28">
        <f>IF('01_SKU_Input'!Q8="High",-10,IF('01_SKU_Input'!Q8="Medium",-5,0))</f>
        <v>0</v>
      </c>
      <c r="P8" s="29">
        <f>I8*'02_Assumptions'!$B$4/5*100+J8*'02_Assumptions'!$B$5/5*100+K8*'02_Assumptions'!$B$6/5*100+L8*'02_Assumptions'!$B$7/5*100+M8*'02_Assumptions'!$B$8/5*100+N8*'02_Assumptions'!$B$9/5*100+O8</f>
        <v>66</v>
      </c>
      <c r="Q8" s="29">
        <f t="shared" si="5"/>
        <v>41</v>
      </c>
      <c r="R8" s="29">
        <f t="shared" si="6"/>
        <v>25</v>
      </c>
      <c r="S8" s="30" t="str">
        <f t="shared" si="7"/>
        <v>Test</v>
      </c>
      <c r="T8" s="30" t="str">
        <f t="shared" si="8"/>
        <v>Winners</v>
      </c>
    </row>
    <row r="9" spans="1:26" ht="14.4">
      <c r="A9" s="5" t="str">
        <f>'01_SKU_Input'!A9</f>
        <v>SKU 06</v>
      </c>
      <c r="B9" s="5" t="str">
        <f>'01_SKU_Input'!B9</f>
        <v>Terra Coffee Premium Tin 250g</v>
      </c>
      <c r="C9" s="5" t="str">
        <f>'01_SKU_Input'!C9</f>
        <v>Food</v>
      </c>
      <c r="D9" s="12">
        <f>'01_SKU_Input'!H9</f>
        <v>180000</v>
      </c>
      <c r="E9" s="19">
        <f>'01_SKU_Input'!I9</f>
        <v>0.43</v>
      </c>
      <c r="F9" s="5">
        <f>'01_SKU_Input'!L9</f>
        <v>28</v>
      </c>
      <c r="G9" s="19">
        <f>'01_SKU_Input'!M9</f>
        <v>0.57999999999999996</v>
      </c>
      <c r="H9" s="5" t="str">
        <f>'01_SKU_Input'!R9</f>
        <v>Seasonal/test SKU</v>
      </c>
      <c r="I9" s="28">
        <f t="shared" si="0"/>
        <v>3</v>
      </c>
      <c r="J9" s="28">
        <f t="shared" si="1"/>
        <v>3</v>
      </c>
      <c r="K9" s="28">
        <f t="shared" si="2"/>
        <v>2</v>
      </c>
      <c r="L9" s="28">
        <f t="shared" si="3"/>
        <v>1</v>
      </c>
      <c r="M9" s="28">
        <f>IF(OR(ISNUMBER(SEARCH("Gift",'01_SKU_Input'!O9)),ISNUMBER(SEARCH("travel",'01_SKU_Input'!O9)),ISNUMBER(SEARCH("Premium",'01_SKU_Input'!O9)),ISNUMBER(SEARCH("Discovery",'01_SKU_Input'!O9)),ISNUMBER(SEARCH("Destination",'01_SKU_Input'!O9))),5,IF(OR(ISNUMBER(SEARCH("Impulse",'01_SKU_Input'!O9)),ISNUMBER(SEARCH("Replenishment",'01_SKU_Input'!O9)),ISNUMBER(SEARCH("Business",'01_SKU_Input'!O9))),4,3))</f>
        <v>5</v>
      </c>
      <c r="N9" s="28">
        <f t="shared" si="4"/>
        <v>3</v>
      </c>
      <c r="O9" s="28">
        <f>IF('01_SKU_Input'!Q9="High",-10,IF('01_SKU_Input'!Q9="Medium",-5,0))</f>
        <v>-5</v>
      </c>
      <c r="P9" s="29">
        <f>I9*'02_Assumptions'!$B$4/5*100+J9*'02_Assumptions'!$B$5/5*100+K9*'02_Assumptions'!$B$6/5*100+L9*'02_Assumptions'!$B$7/5*100+M9*'02_Assumptions'!$B$8/5*100+N9*'02_Assumptions'!$B$9/5*100+O9</f>
        <v>44</v>
      </c>
      <c r="Q9" s="29">
        <f t="shared" si="5"/>
        <v>30</v>
      </c>
      <c r="R9" s="29">
        <f t="shared" si="6"/>
        <v>14</v>
      </c>
      <c r="S9" s="30" t="str">
        <f t="shared" si="7"/>
        <v>Test</v>
      </c>
      <c r="T9" s="30" t="str">
        <f t="shared" si="8"/>
        <v>Weak tail</v>
      </c>
    </row>
    <row r="10" spans="1:26" ht="14.4">
      <c r="A10" s="5" t="str">
        <f>'01_SKU_Input'!A10</f>
        <v>SKU 07</v>
      </c>
      <c r="B10" s="5" t="str">
        <f>'01_SKU_Input'!B10</f>
        <v>Botanika Mini Fragrance Set</v>
      </c>
      <c r="C10" s="5" t="str">
        <f>'01_SKU_Input'!C10</f>
        <v>Beauty</v>
      </c>
      <c r="D10" s="12">
        <f>'01_SKU_Input'!H10</f>
        <v>245000</v>
      </c>
      <c r="E10" s="19">
        <f>'01_SKU_Input'!I10</f>
        <v>0.67</v>
      </c>
      <c r="F10" s="5">
        <f>'01_SKU_Input'!L10</f>
        <v>31</v>
      </c>
      <c r="G10" s="19">
        <f>'01_SKU_Input'!M10</f>
        <v>0.34</v>
      </c>
      <c r="H10" s="5" t="str">
        <f>'01_SKU_Input'!R10</f>
        <v>Recruitment SKU</v>
      </c>
      <c r="I10" s="28">
        <f t="shared" si="0"/>
        <v>3</v>
      </c>
      <c r="J10" s="28">
        <f t="shared" si="1"/>
        <v>5</v>
      </c>
      <c r="K10" s="28">
        <f t="shared" si="2"/>
        <v>2</v>
      </c>
      <c r="L10" s="28">
        <f t="shared" si="3"/>
        <v>1</v>
      </c>
      <c r="M10" s="28">
        <f>IF(OR(ISNUMBER(SEARCH("Gift",'01_SKU_Input'!O10)),ISNUMBER(SEARCH("travel",'01_SKU_Input'!O10)),ISNUMBER(SEARCH("Premium",'01_SKU_Input'!O10)),ISNUMBER(SEARCH("Discovery",'01_SKU_Input'!O10)),ISNUMBER(SEARCH("Destination",'01_SKU_Input'!O10))),5,IF(OR(ISNUMBER(SEARCH("Impulse",'01_SKU_Input'!O10)),ISNUMBER(SEARCH("Replenishment",'01_SKU_Input'!O10)),ISNUMBER(SEARCH("Business",'01_SKU_Input'!O10))),4,3))</f>
        <v>5</v>
      </c>
      <c r="N10" s="28">
        <f t="shared" si="4"/>
        <v>4</v>
      </c>
      <c r="O10" s="28">
        <f>IF('01_SKU_Input'!Q10="High",-10,IF('01_SKU_Input'!Q10="Medium",-5,0))</f>
        <v>0</v>
      </c>
      <c r="P10" s="29">
        <f>I10*'02_Assumptions'!$B$4/5*100+J10*'02_Assumptions'!$B$5/5*100+K10*'02_Assumptions'!$B$6/5*100+L10*'02_Assumptions'!$B$7/5*100+M10*'02_Assumptions'!$B$8/5*100+N10*'02_Assumptions'!$B$9/5*100+O10</f>
        <v>59</v>
      </c>
      <c r="Q10" s="29">
        <f t="shared" si="5"/>
        <v>38</v>
      </c>
      <c r="R10" s="29">
        <f t="shared" si="6"/>
        <v>21</v>
      </c>
      <c r="S10" s="30" t="str">
        <f t="shared" si="7"/>
        <v>Test</v>
      </c>
      <c r="T10" s="30" t="str">
        <f t="shared" si="8"/>
        <v>Winners</v>
      </c>
    </row>
    <row r="11" spans="1:26" ht="14.4">
      <c r="A11" s="5" t="str">
        <f>'01_SKU_Input'!A11</f>
        <v>SKU 08</v>
      </c>
      <c r="B11" s="5" t="str">
        <f>'01_SKU_Input'!B11</f>
        <v>Frost Mints Pocket Pack</v>
      </c>
      <c r="C11" s="5" t="str">
        <f>'01_SKU_Input'!C11</f>
        <v>Confectionery</v>
      </c>
      <c r="D11" s="12">
        <f>'01_SKU_Input'!H11</f>
        <v>95000</v>
      </c>
      <c r="E11" s="19">
        <f>'01_SKU_Input'!I11</f>
        <v>0.28999999999999998</v>
      </c>
      <c r="F11" s="5">
        <f>'01_SKU_Input'!L11</f>
        <v>64</v>
      </c>
      <c r="G11" s="19">
        <f>'01_SKU_Input'!M11</f>
        <v>0.91</v>
      </c>
      <c r="H11" s="5" t="str">
        <f>'01_SKU_Input'!R11</f>
        <v>Traffic driver</v>
      </c>
      <c r="I11" s="28">
        <f t="shared" si="0"/>
        <v>1</v>
      </c>
      <c r="J11" s="28">
        <f t="shared" si="1"/>
        <v>1</v>
      </c>
      <c r="K11" s="28">
        <f t="shared" si="2"/>
        <v>4</v>
      </c>
      <c r="L11" s="28">
        <f t="shared" si="3"/>
        <v>1</v>
      </c>
      <c r="M11" s="28">
        <f>IF(OR(ISNUMBER(SEARCH("Gift",'01_SKU_Input'!O11)),ISNUMBER(SEARCH("travel",'01_SKU_Input'!O11)),ISNUMBER(SEARCH("Premium",'01_SKU_Input'!O11)),ISNUMBER(SEARCH("Discovery",'01_SKU_Input'!O11)),ISNUMBER(SEARCH("Destination",'01_SKU_Input'!O11))),5,IF(OR(ISNUMBER(SEARCH("Impulse",'01_SKU_Input'!O11)),ISNUMBER(SEARCH("Replenishment",'01_SKU_Input'!O11)),ISNUMBER(SEARCH("Business",'01_SKU_Input'!O11))),4,3))</f>
        <v>4</v>
      </c>
      <c r="N11" s="28">
        <f t="shared" si="4"/>
        <v>3</v>
      </c>
      <c r="O11" s="28">
        <f>IF('01_SKU_Input'!Q11="High",-10,IF('01_SKU_Input'!Q11="Medium",-5,0))</f>
        <v>-10</v>
      </c>
      <c r="P11" s="29">
        <f>I11*'02_Assumptions'!$B$4/5*100+J11*'02_Assumptions'!$B$5/5*100+K11*'02_Assumptions'!$B$6/5*100+L11*'02_Assumptions'!$B$7/5*100+M11*'02_Assumptions'!$B$8/5*100+N11*'02_Assumptions'!$B$9/5*100+O11</f>
        <v>27</v>
      </c>
      <c r="Q11" s="29">
        <f t="shared" si="5"/>
        <v>20</v>
      </c>
      <c r="R11" s="29">
        <f t="shared" si="6"/>
        <v>7</v>
      </c>
      <c r="S11" s="30" t="str">
        <f t="shared" si="7"/>
        <v>Remove</v>
      </c>
      <c r="T11" s="30" t="str">
        <f t="shared" si="8"/>
        <v>Weak tail</v>
      </c>
    </row>
    <row r="12" spans="1:26" ht="14.4">
      <c r="A12" s="5" t="str">
        <f>'01_SKU_Input'!A12</f>
        <v>SKU 09</v>
      </c>
      <c r="B12" s="5" t="str">
        <f>'01_SKU_Input'!B12</f>
        <v>Altitude Protein Bar 12-pack</v>
      </c>
      <c r="C12" s="5" t="str">
        <f>'01_SKU_Input'!C12</f>
        <v>Snacks</v>
      </c>
      <c r="D12" s="12">
        <f>'01_SKU_Input'!H12</f>
        <v>165000</v>
      </c>
      <c r="E12" s="19">
        <f>'01_SKU_Input'!I12</f>
        <v>0.41</v>
      </c>
      <c r="F12" s="5">
        <f>'01_SKU_Input'!L12</f>
        <v>22</v>
      </c>
      <c r="G12" s="19">
        <f>'01_SKU_Input'!M12</f>
        <v>0.44</v>
      </c>
      <c r="H12" s="5" t="str">
        <f>'01_SKU_Input'!R12</f>
        <v>Seasonal/test SKU</v>
      </c>
      <c r="I12" s="28">
        <f t="shared" si="0"/>
        <v>2</v>
      </c>
      <c r="J12" s="28">
        <f t="shared" si="1"/>
        <v>3</v>
      </c>
      <c r="K12" s="28">
        <f t="shared" si="2"/>
        <v>2</v>
      </c>
      <c r="L12" s="28">
        <f t="shared" si="3"/>
        <v>1</v>
      </c>
      <c r="M12" s="28">
        <f>IF(OR(ISNUMBER(SEARCH("Gift",'01_SKU_Input'!O12)),ISNUMBER(SEARCH("travel",'01_SKU_Input'!O12)),ISNUMBER(SEARCH("Premium",'01_SKU_Input'!O12)),ISNUMBER(SEARCH("Discovery",'01_SKU_Input'!O12)),ISNUMBER(SEARCH("Destination",'01_SKU_Input'!O12))),5,IF(OR(ISNUMBER(SEARCH("Impulse",'01_SKU_Input'!O12)),ISNUMBER(SEARCH("Replenishment",'01_SKU_Input'!O12)),ISNUMBER(SEARCH("Business",'01_SKU_Input'!O12))),4,3))</f>
        <v>5</v>
      </c>
      <c r="N12" s="28">
        <f t="shared" si="4"/>
        <v>3</v>
      </c>
      <c r="O12" s="28">
        <f>IF('01_SKU_Input'!Q12="High",-10,IF('01_SKU_Input'!Q12="Medium",-5,0))</f>
        <v>-5</v>
      </c>
      <c r="P12" s="29">
        <f>I12*'02_Assumptions'!$B$4/5*100+J12*'02_Assumptions'!$B$5/5*100+K12*'02_Assumptions'!$B$6/5*100+L12*'02_Assumptions'!$B$7/5*100+M12*'02_Assumptions'!$B$8/5*100+N12*'02_Assumptions'!$B$9/5*100+O12</f>
        <v>40</v>
      </c>
      <c r="Q12" s="29">
        <f t="shared" si="5"/>
        <v>26</v>
      </c>
      <c r="R12" s="29">
        <f t="shared" si="6"/>
        <v>14</v>
      </c>
      <c r="S12" s="30" t="str">
        <f t="shared" si="7"/>
        <v>Test</v>
      </c>
      <c r="T12" s="30" t="str">
        <f t="shared" si="8"/>
        <v>Weak tail</v>
      </c>
    </row>
    <row r="13" spans="1:26" ht="14.4">
      <c r="A13" s="5" t="str">
        <f>'01_SKU_Input'!A13</f>
        <v>SKU 10</v>
      </c>
      <c r="B13" s="5" t="str">
        <f>'01_SKU_Input'!B13</f>
        <v>Mare RTD Cocktail 4x200ml</v>
      </c>
      <c r="C13" s="5" t="str">
        <f>'01_SKU_Input'!C13</f>
        <v>Beverage</v>
      </c>
      <c r="D13" s="12">
        <f>'01_SKU_Input'!H13</f>
        <v>305000</v>
      </c>
      <c r="E13" s="19">
        <f>'01_SKU_Input'!I13</f>
        <v>0.51</v>
      </c>
      <c r="F13" s="5">
        <f>'01_SKU_Input'!L13</f>
        <v>57</v>
      </c>
      <c r="G13" s="19">
        <f>'01_SKU_Input'!M13</f>
        <v>0.39</v>
      </c>
      <c r="H13" s="5" t="str">
        <f>'01_SKU_Input'!R13</f>
        <v>Premiumiser</v>
      </c>
      <c r="I13" s="28">
        <f t="shared" si="0"/>
        <v>4</v>
      </c>
      <c r="J13" s="28">
        <f t="shared" si="1"/>
        <v>4</v>
      </c>
      <c r="K13" s="28">
        <f t="shared" si="2"/>
        <v>4</v>
      </c>
      <c r="L13" s="28">
        <f t="shared" si="3"/>
        <v>5</v>
      </c>
      <c r="M13" s="28">
        <f>IF(OR(ISNUMBER(SEARCH("Gift",'01_SKU_Input'!O13)),ISNUMBER(SEARCH("travel",'01_SKU_Input'!O13)),ISNUMBER(SEARCH("Premium",'01_SKU_Input'!O13)),ISNUMBER(SEARCH("Discovery",'01_SKU_Input'!O13)),ISNUMBER(SEARCH("Destination",'01_SKU_Input'!O13))),5,IF(OR(ISNUMBER(SEARCH("Impulse",'01_SKU_Input'!O13)),ISNUMBER(SEARCH("Replenishment",'01_SKU_Input'!O13)),ISNUMBER(SEARCH("Business",'01_SKU_Input'!O13))),4,3))</f>
        <v>5</v>
      </c>
      <c r="N13" s="28">
        <f t="shared" si="4"/>
        <v>4</v>
      </c>
      <c r="O13" s="28">
        <f>IF('01_SKU_Input'!Q13="High",-10,IF('01_SKU_Input'!Q13="Medium",-5,0))</f>
        <v>0</v>
      </c>
      <c r="P13" s="29">
        <f>I13*'02_Assumptions'!$B$4/5*100+J13*'02_Assumptions'!$B$5/5*100+K13*'02_Assumptions'!$B$6/5*100+L13*'02_Assumptions'!$B$7/5*100+M13*'02_Assumptions'!$B$8/5*100+N13*'02_Assumptions'!$B$9/5*100+O13</f>
        <v>77</v>
      </c>
      <c r="Q13" s="29">
        <f t="shared" si="5"/>
        <v>44</v>
      </c>
      <c r="R13" s="29">
        <f t="shared" si="6"/>
        <v>33</v>
      </c>
      <c r="S13" s="30" t="str">
        <f t="shared" si="7"/>
        <v>Invest</v>
      </c>
      <c r="T13" s="30" t="str">
        <f t="shared" si="8"/>
        <v>Winners</v>
      </c>
    </row>
    <row r="14" spans="1:26" ht="14.4">
      <c r="A14" s="5" t="str">
        <f>'01_SKU_Input'!A14</f>
        <v>SKU 11</v>
      </c>
      <c r="B14" s="5" t="str">
        <f>'01_SKU_Input'!B14</f>
        <v>Lumina Beauty Refill Pouch</v>
      </c>
      <c r="C14" s="5" t="str">
        <f>'01_SKU_Input'!C14</f>
        <v>Beauty</v>
      </c>
      <c r="D14" s="12">
        <f>'01_SKU_Input'!H14</f>
        <v>120000</v>
      </c>
      <c r="E14" s="19">
        <f>'01_SKU_Input'!I14</f>
        <v>0.48</v>
      </c>
      <c r="F14" s="5">
        <f>'01_SKU_Input'!L14</f>
        <v>18</v>
      </c>
      <c r="G14" s="19">
        <f>'01_SKU_Input'!M14</f>
        <v>0.62</v>
      </c>
      <c r="H14" s="5" t="str">
        <f>'01_SKU_Input'!R14</f>
        <v>Duplicative SKU</v>
      </c>
      <c r="I14" s="28">
        <f t="shared" si="0"/>
        <v>2</v>
      </c>
      <c r="J14" s="28">
        <f t="shared" si="1"/>
        <v>3</v>
      </c>
      <c r="K14" s="28">
        <f t="shared" si="2"/>
        <v>1</v>
      </c>
      <c r="L14" s="28">
        <f t="shared" si="3"/>
        <v>1</v>
      </c>
      <c r="M14" s="28">
        <f>IF(OR(ISNUMBER(SEARCH("Gift",'01_SKU_Input'!O14)),ISNUMBER(SEARCH("travel",'01_SKU_Input'!O14)),ISNUMBER(SEARCH("Premium",'01_SKU_Input'!O14)),ISNUMBER(SEARCH("Discovery",'01_SKU_Input'!O14)),ISNUMBER(SEARCH("Destination",'01_SKU_Input'!O14))),5,IF(OR(ISNUMBER(SEARCH("Impulse",'01_SKU_Input'!O14)),ISNUMBER(SEARCH("Replenishment",'01_SKU_Input'!O14)),ISNUMBER(SEARCH("Business",'01_SKU_Input'!O14))),4,3))</f>
        <v>4</v>
      </c>
      <c r="N14" s="28">
        <f t="shared" si="4"/>
        <v>1</v>
      </c>
      <c r="O14" s="28">
        <f>IF('01_SKU_Input'!Q14="High",-10,IF('01_SKU_Input'!Q14="Medium",-5,0))</f>
        <v>-5</v>
      </c>
      <c r="P14" s="29">
        <f>I14*'02_Assumptions'!$B$4/5*100+J14*'02_Assumptions'!$B$5/5*100+K14*'02_Assumptions'!$B$6/5*100+L14*'02_Assumptions'!$B$7/5*100+M14*'02_Assumptions'!$B$8/5*100+N14*'02_Assumptions'!$B$9/5*100+O14</f>
        <v>31</v>
      </c>
      <c r="Q14" s="29">
        <f t="shared" si="5"/>
        <v>23</v>
      </c>
      <c r="R14" s="29">
        <f t="shared" si="6"/>
        <v>8</v>
      </c>
      <c r="S14" s="30" t="str">
        <f t="shared" si="7"/>
        <v>Remove</v>
      </c>
      <c r="T14" s="30" t="str">
        <f t="shared" si="8"/>
        <v>Weak tail</v>
      </c>
    </row>
    <row r="15" spans="1:26" ht="14.4">
      <c r="A15" s="5" t="str">
        <f>'01_SKU_Input'!A15</f>
        <v>SKU 12</v>
      </c>
      <c r="B15" s="5" t="str">
        <f>'01_SKU_Input'!B15</f>
        <v>Casa Roja Olive Oil Gift Tin</v>
      </c>
      <c r="C15" s="5" t="str">
        <f>'01_SKU_Input'!C15</f>
        <v>Food</v>
      </c>
      <c r="D15" s="12">
        <f>'01_SKU_Input'!H15</f>
        <v>275000</v>
      </c>
      <c r="E15" s="19">
        <f>'01_SKU_Input'!I15</f>
        <v>0.53</v>
      </c>
      <c r="F15" s="5">
        <f>'01_SKU_Input'!L15</f>
        <v>35</v>
      </c>
      <c r="G15" s="19">
        <f>'01_SKU_Input'!M15</f>
        <v>0.46</v>
      </c>
      <c r="H15" s="5" t="str">
        <f>'01_SKU_Input'!R15</f>
        <v>Margin builder</v>
      </c>
      <c r="I15" s="28">
        <f t="shared" si="0"/>
        <v>4</v>
      </c>
      <c r="J15" s="28">
        <f t="shared" si="1"/>
        <v>4</v>
      </c>
      <c r="K15" s="28">
        <f t="shared" si="2"/>
        <v>3</v>
      </c>
      <c r="L15" s="28">
        <f t="shared" si="3"/>
        <v>3</v>
      </c>
      <c r="M15" s="28">
        <f>IF(OR(ISNUMBER(SEARCH("Gift",'01_SKU_Input'!O15)),ISNUMBER(SEARCH("travel",'01_SKU_Input'!O15)),ISNUMBER(SEARCH("Premium",'01_SKU_Input'!O15)),ISNUMBER(SEARCH("Discovery",'01_SKU_Input'!O15)),ISNUMBER(SEARCH("Destination",'01_SKU_Input'!O15))),5,IF(OR(ISNUMBER(SEARCH("Impulse",'01_SKU_Input'!O15)),ISNUMBER(SEARCH("Replenishment",'01_SKU_Input'!O15)),ISNUMBER(SEARCH("Business",'01_SKU_Input'!O15))),4,3))</f>
        <v>5</v>
      </c>
      <c r="N15" s="28">
        <f t="shared" si="4"/>
        <v>5</v>
      </c>
      <c r="O15" s="28">
        <f>IF('01_SKU_Input'!Q15="High",-10,IF('01_SKU_Input'!Q15="Medium",-5,0))</f>
        <v>0</v>
      </c>
      <c r="P15" s="29">
        <f>I15*'02_Assumptions'!$B$4/5*100+J15*'02_Assumptions'!$B$5/5*100+K15*'02_Assumptions'!$B$6/5*100+L15*'02_Assumptions'!$B$7/5*100+M15*'02_Assumptions'!$B$8/5*100+N15*'02_Assumptions'!$B$9/5*100+O15</f>
        <v>70</v>
      </c>
      <c r="Q15" s="29">
        <f t="shared" si="5"/>
        <v>41</v>
      </c>
      <c r="R15" s="29">
        <f t="shared" si="6"/>
        <v>29</v>
      </c>
      <c r="S15" s="30" t="str">
        <f t="shared" si="7"/>
        <v>Retain</v>
      </c>
      <c r="T15" s="30" t="str">
        <f t="shared" si="8"/>
        <v>Winners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showGridLines="0" zoomScale="107" workbookViewId="0">
      <selection sqref="A1:H1"/>
    </sheetView>
  </sheetViews>
  <sheetFormatPr baseColWidth="10" defaultColWidth="8.796875" defaultRowHeight="13.8"/>
  <cols>
    <col min="1" max="1" width="34" customWidth="1"/>
    <col min="2" max="2" width="22" customWidth="1"/>
    <col min="3" max="3" width="24" customWidth="1"/>
    <col min="4" max="4" width="16" customWidth="1"/>
    <col min="5" max="5" width="24" customWidth="1"/>
    <col min="7" max="7" width="28" customWidth="1"/>
    <col min="8" max="8" width="36" customWidth="1"/>
    <col min="9" max="9" width="18" customWidth="1"/>
  </cols>
  <sheetData>
    <row r="1" spans="1:26" ht="28.05" customHeight="1">
      <c r="A1" s="43" t="s">
        <v>176</v>
      </c>
      <c r="B1" s="44"/>
      <c r="C1" s="44"/>
      <c r="D1" s="44"/>
      <c r="E1" s="44"/>
      <c r="F1" s="44"/>
      <c r="G1" s="44"/>
      <c r="H1" s="4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4.4">
      <c r="A3" s="16" t="s">
        <v>177</v>
      </c>
      <c r="B3" s="17" t="s">
        <v>0</v>
      </c>
      <c r="C3" s="17" t="s">
        <v>1</v>
      </c>
      <c r="D3" s="17" t="s">
        <v>143</v>
      </c>
      <c r="E3" s="18" t="s">
        <v>175</v>
      </c>
      <c r="G3" s="16" t="s">
        <v>175</v>
      </c>
      <c r="H3" s="17" t="s">
        <v>178</v>
      </c>
      <c r="I3" s="18" t="s">
        <v>179</v>
      </c>
    </row>
    <row r="4" spans="1:26" ht="14.4">
      <c r="A4" s="5" t="str">
        <f>'03_Scoring_Model'!B4</f>
        <v>Aura Chocolates Travel Gift Box 300g</v>
      </c>
      <c r="B4" s="20">
        <f>'03_Scoring_Model'!Q4</f>
        <v>48</v>
      </c>
      <c r="C4" s="20">
        <f>'03_Scoring_Model'!R4</f>
        <v>32</v>
      </c>
      <c r="D4" s="5" t="str">
        <f>'03_Scoring_Model'!S4</f>
        <v>Invest</v>
      </c>
      <c r="E4" s="5" t="str">
        <f>'03_Scoring_Model'!T4</f>
        <v>Winners</v>
      </c>
      <c r="G4" s="5" t="s">
        <v>180</v>
      </c>
      <c r="H4" s="5" t="s">
        <v>181</v>
      </c>
      <c r="I4" s="5" t="s">
        <v>148</v>
      </c>
    </row>
    <row r="5" spans="1:26" ht="14.4">
      <c r="A5" s="5" t="str">
        <f>'03_Scoring_Model'!B5</f>
        <v>Northgate Whisky Reserve 1L</v>
      </c>
      <c r="B5" s="20">
        <f>'03_Scoring_Model'!Q5</f>
        <v>49</v>
      </c>
      <c r="C5" s="20">
        <f>'03_Scoring_Model'!R5</f>
        <v>24</v>
      </c>
      <c r="D5" s="5" t="str">
        <f>'03_Scoring_Model'!S5</f>
        <v>Retain</v>
      </c>
      <c r="E5" s="5" t="str">
        <f>'03_Scoring_Model'!T5</f>
        <v>Winners</v>
      </c>
      <c r="G5" s="5" t="s">
        <v>182</v>
      </c>
      <c r="H5" s="5" t="s">
        <v>183</v>
      </c>
      <c r="I5" s="5" t="s">
        <v>152</v>
      </c>
    </row>
    <row r="6" spans="1:26" ht="14.4">
      <c r="A6" s="5" t="str">
        <f>'03_Scoring_Model'!B6</f>
        <v>Vela Skin Hydration Travel Duo</v>
      </c>
      <c r="B6" s="20">
        <f>'03_Scoring_Model'!Q6</f>
        <v>49</v>
      </c>
      <c r="C6" s="20">
        <f>'03_Scoring_Model'!R6</f>
        <v>25</v>
      </c>
      <c r="D6" s="5" t="str">
        <f>'03_Scoring_Model'!S6</f>
        <v>Retain</v>
      </c>
      <c r="E6" s="5" t="str">
        <f>'03_Scoring_Model'!T6</f>
        <v>Winners</v>
      </c>
      <c r="G6" s="5" t="s">
        <v>184</v>
      </c>
      <c r="H6" s="5" t="s">
        <v>185</v>
      </c>
      <c r="I6" s="5" t="s">
        <v>156</v>
      </c>
    </row>
    <row r="7" spans="1:26" ht="14.4">
      <c r="A7" s="5" t="str">
        <f>'03_Scoring_Model'!B7</f>
        <v>Pulse Energy Multipack 6x250ml</v>
      </c>
      <c r="B7" s="20">
        <f>'03_Scoring_Model'!Q7</f>
        <v>35</v>
      </c>
      <c r="C7" s="20">
        <f>'03_Scoring_Model'!R7</f>
        <v>7</v>
      </c>
      <c r="D7" s="5" t="str">
        <f>'03_Scoring_Model'!S7</f>
        <v>Remove</v>
      </c>
      <c r="E7" s="5" t="str">
        <f>'03_Scoring_Model'!T7</f>
        <v>Efficient but not priority</v>
      </c>
      <c r="G7" s="5" t="s">
        <v>186</v>
      </c>
      <c r="H7" s="5" t="s">
        <v>187</v>
      </c>
      <c r="I7" s="5" t="s">
        <v>159</v>
      </c>
    </row>
    <row r="8" spans="1:26" ht="14.4">
      <c r="A8" s="5" t="str">
        <f>'03_Scoring_Model'!B8</f>
        <v>Solara SPF Travel Kit</v>
      </c>
      <c r="B8" s="20">
        <f>'03_Scoring_Model'!Q8</f>
        <v>41</v>
      </c>
      <c r="C8" s="20">
        <f>'03_Scoring_Model'!R8</f>
        <v>25</v>
      </c>
      <c r="D8" s="5" t="str">
        <f>'03_Scoring_Model'!S8</f>
        <v>Test</v>
      </c>
      <c r="E8" s="5" t="str">
        <f>'03_Scoring_Model'!T8</f>
        <v>Winners</v>
      </c>
    </row>
    <row r="9" spans="1:26" ht="14.4">
      <c r="A9" s="5" t="str">
        <f>'03_Scoring_Model'!B9</f>
        <v>Terra Coffee Premium Tin 250g</v>
      </c>
      <c r="B9" s="20">
        <f>'03_Scoring_Model'!Q9</f>
        <v>30</v>
      </c>
      <c r="C9" s="20">
        <f>'03_Scoring_Model'!R9</f>
        <v>14</v>
      </c>
      <c r="D9" s="5" t="str">
        <f>'03_Scoring_Model'!S9</f>
        <v>Test</v>
      </c>
      <c r="E9" s="5" t="str">
        <f>'03_Scoring_Model'!T9</f>
        <v>Weak tail</v>
      </c>
    </row>
    <row r="10" spans="1:26" ht="14.4">
      <c r="A10" s="5" t="str">
        <f>'03_Scoring_Model'!B10</f>
        <v>Botanika Mini Fragrance Set</v>
      </c>
      <c r="B10" s="20">
        <f>'03_Scoring_Model'!Q10</f>
        <v>38</v>
      </c>
      <c r="C10" s="20">
        <f>'03_Scoring_Model'!R10</f>
        <v>21</v>
      </c>
      <c r="D10" s="5" t="str">
        <f>'03_Scoring_Model'!S10</f>
        <v>Test</v>
      </c>
      <c r="E10" s="5" t="str">
        <f>'03_Scoring_Model'!T10</f>
        <v>Winners</v>
      </c>
    </row>
    <row r="11" spans="1:26" ht="14.4">
      <c r="A11" s="5" t="str">
        <f>'03_Scoring_Model'!B11</f>
        <v>Frost Mints Pocket Pack</v>
      </c>
      <c r="B11" s="20">
        <f>'03_Scoring_Model'!Q11</f>
        <v>20</v>
      </c>
      <c r="C11" s="20">
        <f>'03_Scoring_Model'!R11</f>
        <v>7</v>
      </c>
      <c r="D11" s="5" t="str">
        <f>'03_Scoring_Model'!S11</f>
        <v>Remove</v>
      </c>
      <c r="E11" s="5" t="str">
        <f>'03_Scoring_Model'!T11</f>
        <v>Weak tail</v>
      </c>
    </row>
    <row r="12" spans="1:26" ht="14.4">
      <c r="A12" s="5" t="str">
        <f>'03_Scoring_Model'!B12</f>
        <v>Altitude Protein Bar 12-pack</v>
      </c>
      <c r="B12" s="20">
        <f>'03_Scoring_Model'!Q12</f>
        <v>26</v>
      </c>
      <c r="C12" s="20">
        <f>'03_Scoring_Model'!R12</f>
        <v>14</v>
      </c>
      <c r="D12" s="5" t="str">
        <f>'03_Scoring_Model'!S12</f>
        <v>Test</v>
      </c>
      <c r="E12" s="5" t="str">
        <f>'03_Scoring_Model'!T12</f>
        <v>Weak tail</v>
      </c>
    </row>
    <row r="13" spans="1:26" ht="14.4">
      <c r="A13" s="5" t="str">
        <f>'03_Scoring_Model'!B13</f>
        <v>Mare RTD Cocktail 4x200ml</v>
      </c>
      <c r="B13" s="20">
        <f>'03_Scoring_Model'!Q13</f>
        <v>44</v>
      </c>
      <c r="C13" s="20">
        <f>'03_Scoring_Model'!R13</f>
        <v>33</v>
      </c>
      <c r="D13" s="5" t="str">
        <f>'03_Scoring_Model'!S13</f>
        <v>Invest</v>
      </c>
      <c r="E13" s="5" t="str">
        <f>'03_Scoring_Model'!T13</f>
        <v>Winners</v>
      </c>
    </row>
    <row r="14" spans="1:26" ht="14.4">
      <c r="A14" s="5" t="str">
        <f>'03_Scoring_Model'!B14</f>
        <v>Lumina Beauty Refill Pouch</v>
      </c>
      <c r="B14" s="20">
        <f>'03_Scoring_Model'!Q14</f>
        <v>23</v>
      </c>
      <c r="C14" s="20">
        <f>'03_Scoring_Model'!R14</f>
        <v>8</v>
      </c>
      <c r="D14" s="5" t="str">
        <f>'03_Scoring_Model'!S14</f>
        <v>Remove</v>
      </c>
      <c r="E14" s="5" t="str">
        <f>'03_Scoring_Model'!T14</f>
        <v>Weak tail</v>
      </c>
    </row>
    <row r="15" spans="1:26" ht="14.4">
      <c r="A15" s="5" t="str">
        <f>'03_Scoring_Model'!B15</f>
        <v>Casa Roja Olive Oil Gift Tin</v>
      </c>
      <c r="B15" s="20">
        <f>'03_Scoring_Model'!Q15</f>
        <v>41</v>
      </c>
      <c r="C15" s="20">
        <f>'03_Scoring_Model'!R15</f>
        <v>29</v>
      </c>
      <c r="D15" s="5" t="str">
        <f>'03_Scoring_Model'!S15</f>
        <v>Retain</v>
      </c>
      <c r="E15" s="5" t="str">
        <f>'03_Scoring_Model'!T15</f>
        <v>Winners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"/>
  <sheetViews>
    <sheetView showGridLines="0" workbookViewId="0">
      <selection activeCell="A4" sqref="A4:XFD15"/>
    </sheetView>
  </sheetViews>
  <sheetFormatPr baseColWidth="10" defaultColWidth="8.796875" defaultRowHeight="13.8"/>
  <cols>
    <col min="1" max="1" width="31.3984375" bestFit="1" customWidth="1"/>
    <col min="2" max="2" width="16.09765625" bestFit="1" customWidth="1"/>
    <col min="3" max="3" width="10.796875" style="24" bestFit="1" customWidth="1"/>
    <col min="4" max="4" width="17" customWidth="1"/>
    <col min="5" max="5" width="44.296875" bestFit="1" customWidth="1"/>
    <col min="6" max="6" width="50.296875" bestFit="1" customWidth="1"/>
    <col min="7" max="7" width="39.296875" bestFit="1" customWidth="1"/>
    <col min="8" max="8" width="7.296875" bestFit="1" customWidth="1"/>
    <col min="9" max="9" width="14.796875" bestFit="1" customWidth="1"/>
    <col min="10" max="10" width="15.296875" bestFit="1" customWidth="1"/>
  </cols>
  <sheetData>
    <row r="1" spans="1:26" ht="28.05" customHeight="1">
      <c r="A1" s="43" t="s">
        <v>188</v>
      </c>
      <c r="B1" s="44"/>
      <c r="C1" s="44"/>
      <c r="D1" s="44"/>
      <c r="E1" s="44"/>
      <c r="F1" s="44"/>
      <c r="G1" s="44"/>
      <c r="H1" s="4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>
      <c r="A3" s="21" t="s">
        <v>177</v>
      </c>
      <c r="B3" s="22" t="s">
        <v>189</v>
      </c>
      <c r="C3" s="22" t="s">
        <v>172</v>
      </c>
      <c r="D3" s="22" t="s">
        <v>143</v>
      </c>
      <c r="E3" s="22" t="s">
        <v>190</v>
      </c>
      <c r="F3" s="22" t="s">
        <v>191</v>
      </c>
      <c r="G3" s="22" t="s">
        <v>192</v>
      </c>
      <c r="H3" s="22" t="s">
        <v>193</v>
      </c>
      <c r="I3" s="22" t="s">
        <v>194</v>
      </c>
      <c r="J3" s="23" t="s">
        <v>195</v>
      </c>
    </row>
    <row r="4" spans="1:26" s="27" customFormat="1">
      <c r="A4" s="25" t="str">
        <f>'03_Scoring_Model'!B4</f>
        <v>Aura Chocolates Travel Gift Box 300g</v>
      </c>
      <c r="B4" s="25" t="str">
        <f>'03_Scoring_Model'!H4</f>
        <v>Hero</v>
      </c>
      <c r="C4" s="26">
        <f>'03_Scoring_Model'!P4</f>
        <v>80</v>
      </c>
      <c r="D4" s="25" t="str">
        <f>'03_Scoring_Model'!S4</f>
        <v>Invest</v>
      </c>
      <c r="E4" s="25" t="str">
        <f t="shared" ref="E4:E15" si="0">IF(D4="Invest","Strong economics and clear Travel Retail role.",IF(D4="Test","Strategic fit or distribution headroom, but needs proof.",IF(D4="Retain","Useful portfolio role; keep without over-investing.","Weak economics or distinctiveness; rationalise.")))</f>
        <v>Strong economics and clear Travel Retail role.</v>
      </c>
      <c r="F4" s="25" t="str">
        <f t="shared" ref="F4:F15" si="1">IF(D4="Invest","Expand distribution and visibility; build into buyer sell-in story.",IF(D4="Test","Run controlled airport/customer test with fixed KPIs.",IF(D4="Retain","Keep listed and monitor performance by customer.","Remove from core portfolio and replace with higher-fit SKU.")))</f>
        <v>Expand distribution and visibility; build into buyer sell-in story.</v>
      </c>
      <c r="G4" s="25" t="str">
        <f t="shared" ref="G4:G15" si="2">IF(D4="Invest","Upside from distribution and basket attachment.",IF(D4="Test","Learning value plus controlled upside.",IF(D4="Retain","Protect stable sales without extra spend.","Reduce complexity and cannibalisation risk.")))</f>
        <v>Upside from distribution and basket attachment.</v>
      </c>
      <c r="H4" s="25" t="str">
        <f t="shared" ref="H4:H15" si="3">IF(D4="Invest","High",IF(D4="Remove","High",IF(D4="Test","Medium","Low")))</f>
        <v>High</v>
      </c>
      <c r="I4" s="25" t="str">
        <f t="shared" ref="I4:I15" si="4">IF(D4="Invest","Commercial Lead",IF(D4="Test","Category Lead",IF(D4="Remove","Portfolio Lead","Account Lead")))</f>
        <v>Commercial Lead</v>
      </c>
      <c r="J4" s="25" t="str">
        <f t="shared" ref="J4:J15" si="5">IF(D4="Invest","Next range review",IF(D4="Test","12-week pilot",IF(D4="Remove","Next reset","Ongoing")))</f>
        <v>Next range review</v>
      </c>
    </row>
    <row r="5" spans="1:26" s="27" customFormat="1">
      <c r="A5" s="25" t="str">
        <f>'03_Scoring_Model'!B5</f>
        <v>Northgate Whisky Reserve 1L</v>
      </c>
      <c r="B5" s="25" t="str">
        <f>'03_Scoring_Model'!H5</f>
        <v>Margin builder</v>
      </c>
      <c r="C5" s="26">
        <f>'03_Scoring_Model'!P5</f>
        <v>73</v>
      </c>
      <c r="D5" s="25" t="str">
        <f>'03_Scoring_Model'!S5</f>
        <v>Retain</v>
      </c>
      <c r="E5" s="25" t="str">
        <f t="shared" si="0"/>
        <v>Useful portfolio role; keep without over-investing.</v>
      </c>
      <c r="F5" s="25" t="str">
        <f t="shared" si="1"/>
        <v>Keep listed and monitor performance by customer.</v>
      </c>
      <c r="G5" s="25" t="str">
        <f t="shared" si="2"/>
        <v>Protect stable sales without extra spend.</v>
      </c>
      <c r="H5" s="25" t="str">
        <f t="shared" si="3"/>
        <v>Low</v>
      </c>
      <c r="I5" s="25" t="str">
        <f t="shared" si="4"/>
        <v>Account Lead</v>
      </c>
      <c r="J5" s="25" t="str">
        <f t="shared" si="5"/>
        <v>Ongoing</v>
      </c>
    </row>
    <row r="6" spans="1:26" s="27" customFormat="1">
      <c r="A6" s="25" t="str">
        <f>'03_Scoring_Model'!B6</f>
        <v>Vela Skin Hydration Travel Duo</v>
      </c>
      <c r="B6" s="25" t="str">
        <f>'03_Scoring_Model'!H6</f>
        <v>Premiumiser</v>
      </c>
      <c r="C6" s="26">
        <f>'03_Scoring_Model'!P6</f>
        <v>74</v>
      </c>
      <c r="D6" s="25" t="str">
        <f>'03_Scoring_Model'!S6</f>
        <v>Retain</v>
      </c>
      <c r="E6" s="25" t="str">
        <f t="shared" si="0"/>
        <v>Useful portfolio role; keep without over-investing.</v>
      </c>
      <c r="F6" s="25" t="str">
        <f t="shared" si="1"/>
        <v>Keep listed and monitor performance by customer.</v>
      </c>
      <c r="G6" s="25" t="str">
        <f t="shared" si="2"/>
        <v>Protect stable sales without extra spend.</v>
      </c>
      <c r="H6" s="25" t="str">
        <f t="shared" si="3"/>
        <v>Low</v>
      </c>
      <c r="I6" s="25" t="str">
        <f t="shared" si="4"/>
        <v>Account Lead</v>
      </c>
      <c r="J6" s="25" t="str">
        <f t="shared" si="5"/>
        <v>Ongoing</v>
      </c>
    </row>
    <row r="7" spans="1:26" s="27" customFormat="1">
      <c r="A7" s="25" t="str">
        <f>'03_Scoring_Model'!B7</f>
        <v>Pulse Energy Multipack 6x250ml</v>
      </c>
      <c r="B7" s="25" t="str">
        <f>'03_Scoring_Model'!H7</f>
        <v>Traffic driver</v>
      </c>
      <c r="C7" s="26">
        <f>'03_Scoring_Model'!P7</f>
        <v>42</v>
      </c>
      <c r="D7" s="25" t="str">
        <f>'03_Scoring_Model'!S7</f>
        <v>Remove</v>
      </c>
      <c r="E7" s="25" t="str">
        <f t="shared" si="0"/>
        <v>Weak economics or distinctiveness; rationalise.</v>
      </c>
      <c r="F7" s="25" t="str">
        <f t="shared" si="1"/>
        <v>Remove from core portfolio and replace with higher-fit SKU.</v>
      </c>
      <c r="G7" s="25" t="str">
        <f t="shared" si="2"/>
        <v>Reduce complexity and cannibalisation risk.</v>
      </c>
      <c r="H7" s="25" t="str">
        <f t="shared" si="3"/>
        <v>High</v>
      </c>
      <c r="I7" s="25" t="str">
        <f t="shared" si="4"/>
        <v>Portfolio Lead</v>
      </c>
      <c r="J7" s="25" t="str">
        <f t="shared" si="5"/>
        <v>Next reset</v>
      </c>
    </row>
    <row r="8" spans="1:26" s="27" customFormat="1">
      <c r="A8" s="25" t="str">
        <f>'03_Scoring_Model'!B8</f>
        <v>Solara SPF Travel Kit</v>
      </c>
      <c r="B8" s="25" t="str">
        <f>'03_Scoring_Model'!H8</f>
        <v>Recruitment SKU</v>
      </c>
      <c r="C8" s="26">
        <f>'03_Scoring_Model'!P8</f>
        <v>66</v>
      </c>
      <c r="D8" s="25" t="str">
        <f>'03_Scoring_Model'!S8</f>
        <v>Test</v>
      </c>
      <c r="E8" s="25" t="str">
        <f t="shared" si="0"/>
        <v>Strategic fit or distribution headroom, but needs proof.</v>
      </c>
      <c r="F8" s="25" t="str">
        <f t="shared" si="1"/>
        <v>Run controlled airport/customer test with fixed KPIs.</v>
      </c>
      <c r="G8" s="25" t="str">
        <f t="shared" si="2"/>
        <v>Learning value plus controlled upside.</v>
      </c>
      <c r="H8" s="25" t="str">
        <f t="shared" si="3"/>
        <v>Medium</v>
      </c>
      <c r="I8" s="25" t="str">
        <f t="shared" si="4"/>
        <v>Category Lead</v>
      </c>
      <c r="J8" s="25" t="str">
        <f t="shared" si="5"/>
        <v>12-week pilot</v>
      </c>
    </row>
    <row r="9" spans="1:26" s="27" customFormat="1">
      <c r="A9" s="25" t="str">
        <f>'03_Scoring_Model'!B9</f>
        <v>Terra Coffee Premium Tin 250g</v>
      </c>
      <c r="B9" s="25" t="str">
        <f>'03_Scoring_Model'!H9</f>
        <v>Seasonal/test SKU</v>
      </c>
      <c r="C9" s="26">
        <f>'03_Scoring_Model'!P9</f>
        <v>44</v>
      </c>
      <c r="D9" s="25" t="str">
        <f>'03_Scoring_Model'!S9</f>
        <v>Test</v>
      </c>
      <c r="E9" s="25" t="str">
        <f t="shared" si="0"/>
        <v>Strategic fit or distribution headroom, but needs proof.</v>
      </c>
      <c r="F9" s="25" t="str">
        <f t="shared" si="1"/>
        <v>Run controlled airport/customer test with fixed KPIs.</v>
      </c>
      <c r="G9" s="25" t="str">
        <f t="shared" si="2"/>
        <v>Learning value plus controlled upside.</v>
      </c>
      <c r="H9" s="25" t="str">
        <f t="shared" si="3"/>
        <v>Medium</v>
      </c>
      <c r="I9" s="25" t="str">
        <f t="shared" si="4"/>
        <v>Category Lead</v>
      </c>
      <c r="J9" s="25" t="str">
        <f t="shared" si="5"/>
        <v>12-week pilot</v>
      </c>
    </row>
    <row r="10" spans="1:26" s="27" customFormat="1">
      <c r="A10" s="25" t="str">
        <f>'03_Scoring_Model'!B10</f>
        <v>Botanika Mini Fragrance Set</v>
      </c>
      <c r="B10" s="25" t="str">
        <f>'03_Scoring_Model'!H10</f>
        <v>Recruitment SKU</v>
      </c>
      <c r="C10" s="26">
        <f>'03_Scoring_Model'!P10</f>
        <v>59</v>
      </c>
      <c r="D10" s="25" t="str">
        <f>'03_Scoring_Model'!S10</f>
        <v>Test</v>
      </c>
      <c r="E10" s="25" t="str">
        <f t="shared" si="0"/>
        <v>Strategic fit or distribution headroom, but needs proof.</v>
      </c>
      <c r="F10" s="25" t="str">
        <f t="shared" si="1"/>
        <v>Run controlled airport/customer test with fixed KPIs.</v>
      </c>
      <c r="G10" s="25" t="str">
        <f t="shared" si="2"/>
        <v>Learning value plus controlled upside.</v>
      </c>
      <c r="H10" s="25" t="str">
        <f t="shared" si="3"/>
        <v>Medium</v>
      </c>
      <c r="I10" s="25" t="str">
        <f t="shared" si="4"/>
        <v>Category Lead</v>
      </c>
      <c r="J10" s="25" t="str">
        <f t="shared" si="5"/>
        <v>12-week pilot</v>
      </c>
    </row>
    <row r="11" spans="1:26" s="27" customFormat="1">
      <c r="A11" s="25" t="str">
        <f>'03_Scoring_Model'!B11</f>
        <v>Frost Mints Pocket Pack</v>
      </c>
      <c r="B11" s="25" t="str">
        <f>'03_Scoring_Model'!H11</f>
        <v>Traffic driver</v>
      </c>
      <c r="C11" s="26">
        <f>'03_Scoring_Model'!P11</f>
        <v>27</v>
      </c>
      <c r="D11" s="25" t="str">
        <f>'03_Scoring_Model'!S11</f>
        <v>Remove</v>
      </c>
      <c r="E11" s="25" t="str">
        <f t="shared" si="0"/>
        <v>Weak economics or distinctiveness; rationalise.</v>
      </c>
      <c r="F11" s="25" t="str">
        <f t="shared" si="1"/>
        <v>Remove from core portfolio and replace with higher-fit SKU.</v>
      </c>
      <c r="G11" s="25" t="str">
        <f t="shared" si="2"/>
        <v>Reduce complexity and cannibalisation risk.</v>
      </c>
      <c r="H11" s="25" t="str">
        <f t="shared" si="3"/>
        <v>High</v>
      </c>
      <c r="I11" s="25" t="str">
        <f t="shared" si="4"/>
        <v>Portfolio Lead</v>
      </c>
      <c r="J11" s="25" t="str">
        <f t="shared" si="5"/>
        <v>Next reset</v>
      </c>
    </row>
    <row r="12" spans="1:26" s="27" customFormat="1">
      <c r="A12" s="25" t="str">
        <f>'03_Scoring_Model'!B12</f>
        <v>Altitude Protein Bar 12-pack</v>
      </c>
      <c r="B12" s="25" t="str">
        <f>'03_Scoring_Model'!H12</f>
        <v>Seasonal/test SKU</v>
      </c>
      <c r="C12" s="26">
        <f>'03_Scoring_Model'!P12</f>
        <v>40</v>
      </c>
      <c r="D12" s="25" t="str">
        <f>'03_Scoring_Model'!S12</f>
        <v>Test</v>
      </c>
      <c r="E12" s="25" t="str">
        <f t="shared" si="0"/>
        <v>Strategic fit or distribution headroom, but needs proof.</v>
      </c>
      <c r="F12" s="25" t="str">
        <f t="shared" si="1"/>
        <v>Run controlled airport/customer test with fixed KPIs.</v>
      </c>
      <c r="G12" s="25" t="str">
        <f t="shared" si="2"/>
        <v>Learning value plus controlled upside.</v>
      </c>
      <c r="H12" s="25" t="str">
        <f t="shared" si="3"/>
        <v>Medium</v>
      </c>
      <c r="I12" s="25" t="str">
        <f t="shared" si="4"/>
        <v>Category Lead</v>
      </c>
      <c r="J12" s="25" t="str">
        <f t="shared" si="5"/>
        <v>12-week pilot</v>
      </c>
    </row>
    <row r="13" spans="1:26" s="27" customFormat="1">
      <c r="A13" s="25" t="str">
        <f>'03_Scoring_Model'!B13</f>
        <v>Mare RTD Cocktail 4x200ml</v>
      </c>
      <c r="B13" s="25" t="str">
        <f>'03_Scoring_Model'!H13</f>
        <v>Premiumiser</v>
      </c>
      <c r="C13" s="26">
        <f>'03_Scoring_Model'!P13</f>
        <v>77</v>
      </c>
      <c r="D13" s="25" t="str">
        <f>'03_Scoring_Model'!S13</f>
        <v>Invest</v>
      </c>
      <c r="E13" s="25" t="str">
        <f t="shared" si="0"/>
        <v>Strong economics and clear Travel Retail role.</v>
      </c>
      <c r="F13" s="25" t="str">
        <f t="shared" si="1"/>
        <v>Expand distribution and visibility; build into buyer sell-in story.</v>
      </c>
      <c r="G13" s="25" t="str">
        <f t="shared" si="2"/>
        <v>Upside from distribution and basket attachment.</v>
      </c>
      <c r="H13" s="25" t="str">
        <f t="shared" si="3"/>
        <v>High</v>
      </c>
      <c r="I13" s="25" t="str">
        <f t="shared" si="4"/>
        <v>Commercial Lead</v>
      </c>
      <c r="J13" s="25" t="str">
        <f t="shared" si="5"/>
        <v>Next range review</v>
      </c>
    </row>
    <row r="14" spans="1:26" s="27" customFormat="1">
      <c r="A14" s="25" t="str">
        <f>'03_Scoring_Model'!B14</f>
        <v>Lumina Beauty Refill Pouch</v>
      </c>
      <c r="B14" s="25" t="str">
        <f>'03_Scoring_Model'!H14</f>
        <v>Duplicative SKU</v>
      </c>
      <c r="C14" s="26">
        <f>'03_Scoring_Model'!P14</f>
        <v>31</v>
      </c>
      <c r="D14" s="25" t="str">
        <f>'03_Scoring_Model'!S14</f>
        <v>Remove</v>
      </c>
      <c r="E14" s="25" t="str">
        <f t="shared" si="0"/>
        <v>Weak economics or distinctiveness; rationalise.</v>
      </c>
      <c r="F14" s="25" t="str">
        <f t="shared" si="1"/>
        <v>Remove from core portfolio and replace with higher-fit SKU.</v>
      </c>
      <c r="G14" s="25" t="str">
        <f t="shared" si="2"/>
        <v>Reduce complexity and cannibalisation risk.</v>
      </c>
      <c r="H14" s="25" t="str">
        <f t="shared" si="3"/>
        <v>High</v>
      </c>
      <c r="I14" s="25" t="str">
        <f t="shared" si="4"/>
        <v>Portfolio Lead</v>
      </c>
      <c r="J14" s="25" t="str">
        <f t="shared" si="5"/>
        <v>Next reset</v>
      </c>
    </row>
    <row r="15" spans="1:26" s="27" customFormat="1">
      <c r="A15" s="25" t="str">
        <f>'03_Scoring_Model'!B15</f>
        <v>Casa Roja Olive Oil Gift Tin</v>
      </c>
      <c r="B15" s="25" t="str">
        <f>'03_Scoring_Model'!H15</f>
        <v>Margin builder</v>
      </c>
      <c r="C15" s="26">
        <f>'03_Scoring_Model'!P15</f>
        <v>70</v>
      </c>
      <c r="D15" s="25" t="str">
        <f>'03_Scoring_Model'!S15</f>
        <v>Retain</v>
      </c>
      <c r="E15" s="25" t="str">
        <f t="shared" si="0"/>
        <v>Useful portfolio role; keep without over-investing.</v>
      </c>
      <c r="F15" s="25" t="str">
        <f t="shared" si="1"/>
        <v>Keep listed and monitor performance by customer.</v>
      </c>
      <c r="G15" s="25" t="str">
        <f t="shared" si="2"/>
        <v>Protect stable sales without extra spend.</v>
      </c>
      <c r="H15" s="25" t="str">
        <f t="shared" si="3"/>
        <v>Low</v>
      </c>
      <c r="I15" s="25" t="str">
        <f t="shared" si="4"/>
        <v>Account Lead</v>
      </c>
      <c r="J15" s="25" t="str">
        <f t="shared" si="5"/>
        <v>Ongoing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"/>
  <sheetViews>
    <sheetView showGridLines="0" workbookViewId="0">
      <selection activeCell="A4" sqref="A4:XFD8"/>
    </sheetView>
  </sheetViews>
  <sheetFormatPr baseColWidth="10" defaultColWidth="8.796875" defaultRowHeight="13.8"/>
  <cols>
    <col min="1" max="1" width="42.796875" bestFit="1" customWidth="1"/>
    <col min="2" max="2" width="24.3984375" bestFit="1" customWidth="1"/>
    <col min="3" max="3" width="23.8984375" bestFit="1" customWidth="1"/>
    <col min="4" max="4" width="9.8984375" bestFit="1" customWidth="1"/>
    <col min="5" max="5" width="8.5" bestFit="1" customWidth="1"/>
    <col min="6" max="6" width="10.09765625" bestFit="1" customWidth="1"/>
    <col min="7" max="7" width="8.8984375" bestFit="1" customWidth="1"/>
    <col min="8" max="8" width="20.59765625" bestFit="1" customWidth="1"/>
    <col min="9" max="9" width="45.296875" bestFit="1" customWidth="1"/>
  </cols>
  <sheetData>
    <row r="1" spans="1:26" ht="28.05" customHeight="1">
      <c r="A1" s="43" t="s">
        <v>2</v>
      </c>
      <c r="B1" s="44"/>
      <c r="C1" s="44"/>
      <c r="D1" s="44"/>
      <c r="E1" s="44"/>
      <c r="F1" s="44"/>
      <c r="G1" s="44"/>
      <c r="H1" s="4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4.4">
      <c r="A3" s="16" t="s">
        <v>196</v>
      </c>
      <c r="B3" s="17" t="s">
        <v>177</v>
      </c>
      <c r="C3" s="17" t="s">
        <v>197</v>
      </c>
      <c r="D3" s="17" t="s">
        <v>198</v>
      </c>
      <c r="E3" s="17" t="s">
        <v>199</v>
      </c>
      <c r="F3" s="17" t="s">
        <v>200</v>
      </c>
      <c r="G3" s="17" t="s">
        <v>201</v>
      </c>
      <c r="H3" s="17" t="s">
        <v>202</v>
      </c>
      <c r="I3" s="18" t="s">
        <v>203</v>
      </c>
    </row>
    <row r="4" spans="1:26" ht="14.4">
      <c r="A4" s="5" t="s">
        <v>204</v>
      </c>
      <c r="B4" s="5" t="s">
        <v>104</v>
      </c>
      <c r="C4" s="5" t="s">
        <v>205</v>
      </c>
      <c r="D4" s="19">
        <v>0.2</v>
      </c>
      <c r="E4" s="5">
        <f>IFERROR(INDEX('01_SKU_Input'!$H$4:$H$15,MATCH(B4,'01_SKU_Input'!$B$4:$B$15,0))*(1+IF(ISNUMBER(SEARCH("Distribution",C4)),D4,IF(ISNUMBER(SEARCH("Visibility",C4)),D4,0))),"")</f>
        <v>366000</v>
      </c>
      <c r="F4" s="19">
        <f>IFERROR(INDEX('01_SKU_Input'!$I$4:$I$15,MATCH(B4,'01_SKU_Input'!$B$4:$B$15,0))+IF(ISNUMBER(SEARCH("Margin",C4)),D4,0),"")</f>
        <v>0.51</v>
      </c>
      <c r="G4" s="20">
        <f>IFERROR(INDEX('03_Scoring_Model'!$P$4:$P$15,MATCH(B4,'03_Scoring_Model'!$B$4:$B$15,0))+IF(ISNUMBER(SEARCH("Distribution",C4)),4,IF(ISNUMBER(SEARCH("Visibility",C4)),3,IF(ISNUMBER(SEARCH("Margin",C4)),3,IF(ISNUMBER(SEARCH("transfer",C4)),-5,0)))),"")</f>
        <v>81</v>
      </c>
      <c r="H4" s="5" t="str">
        <f>IFERROR(INDEX('03_Scoring_Model'!$S$4:$S$15,MATCH(B4,'03_Scoring_Model'!$B$4:$B$15,0))&amp;" -&gt; "&amp;IF(G4&gt;=65,"Invest",IF(G4&gt;=50,"Test/Retain","Remove")),"")</f>
        <v>Invest -&gt; Invest</v>
      </c>
      <c r="I4" s="5" t="s">
        <v>206</v>
      </c>
    </row>
    <row r="5" spans="1:26" ht="14.4">
      <c r="A5" s="5" t="s">
        <v>207</v>
      </c>
      <c r="B5" s="5" t="s">
        <v>108</v>
      </c>
      <c r="C5" s="5" t="s">
        <v>208</v>
      </c>
      <c r="D5" s="19">
        <v>0.3</v>
      </c>
      <c r="E5" s="5">
        <f>IFERROR(INDEX('01_SKU_Input'!$H$4:$H$15,MATCH(B5,'01_SKU_Input'!$B$4:$B$15,0))*(1+IF(ISNUMBER(SEARCH("Distribution",C5)),D5,IF(ISNUMBER(SEARCH("Visibility",C5)),D5,0))),"")</f>
        <v>120000</v>
      </c>
      <c r="F5" s="19">
        <f>IFERROR(INDEX('01_SKU_Input'!$I$4:$I$15,MATCH(B5,'01_SKU_Input'!$B$4:$B$15,0))+IF(ISNUMBER(SEARCH("Margin",C5)),D5,0),"")</f>
        <v>0.48</v>
      </c>
      <c r="G5" s="20">
        <f>IFERROR(INDEX('03_Scoring_Model'!$P$4:$P$15,MATCH(B5,'03_Scoring_Model'!$B$4:$B$15,0))+IF(ISNUMBER(SEARCH("Distribution",C5)),4,IF(ISNUMBER(SEARCH("Visibility",C5)),3,IF(ISNUMBER(SEARCH("Margin",C5)),3,IF(ISNUMBER(SEARCH("transfer",C5)),-5,0)))),"")</f>
        <v>26</v>
      </c>
      <c r="H5" s="5" t="str">
        <f>IFERROR(INDEX('03_Scoring_Model'!$S$4:$S$15,MATCH(B5,'03_Scoring_Model'!$B$4:$B$15,0))&amp;" -&gt; "&amp;IF(G5&gt;=65,"Invest",IF(G5&gt;=50,"Test/Retain","Remove")),"")</f>
        <v>Remove -&gt; Remove</v>
      </c>
      <c r="I5" s="5" t="s">
        <v>209</v>
      </c>
    </row>
    <row r="6" spans="1:26" ht="14.4">
      <c r="A6" s="5" t="s">
        <v>210</v>
      </c>
      <c r="B6" s="5" t="s">
        <v>83</v>
      </c>
      <c r="C6" s="5" t="s">
        <v>211</v>
      </c>
      <c r="D6" s="19">
        <v>0.25</v>
      </c>
      <c r="E6" s="5">
        <f>IFERROR(INDEX('01_SKU_Input'!$H$4:$H$15,MATCH(B6,'01_SKU_Input'!$B$4:$B$15,0))*(1+IF(ISNUMBER(SEARCH("Distribution",C6)),D6,IF(ISNUMBER(SEARCH("Visibility",C6)),D6,0))),"")</f>
        <v>306250</v>
      </c>
      <c r="F6" s="19">
        <f>IFERROR(INDEX('01_SKU_Input'!$I$4:$I$15,MATCH(B6,'01_SKU_Input'!$B$4:$B$15,0))+IF(ISNUMBER(SEARCH("Margin",C6)),D6,0),"")</f>
        <v>0.67</v>
      </c>
      <c r="G6" s="20">
        <f>IFERROR(INDEX('03_Scoring_Model'!$P$4:$P$15,MATCH(B6,'03_Scoring_Model'!$B$4:$B$15,0))+IF(ISNUMBER(SEARCH("Distribution",C6)),4,IF(ISNUMBER(SEARCH("Visibility",C6)),3,IF(ISNUMBER(SEARCH("Margin",C6)),3,IF(ISNUMBER(SEARCH("transfer",C6)),-5,0)))),"")</f>
        <v>63</v>
      </c>
      <c r="H6" s="5" t="str">
        <f>IFERROR(INDEX('03_Scoring_Model'!$S$4:$S$15,MATCH(B6,'03_Scoring_Model'!$B$4:$B$15,0))&amp;" -&gt; "&amp;IF(G6&gt;=65,"Invest",IF(G6&gt;=50,"Test/Retain","Remove")),"")</f>
        <v>Test -&gt; Test/Retain</v>
      </c>
      <c r="I6" s="5" t="s">
        <v>212</v>
      </c>
    </row>
    <row r="7" spans="1:26" ht="14.4">
      <c r="A7" s="5" t="s">
        <v>213</v>
      </c>
      <c r="B7" s="5" t="s">
        <v>37</v>
      </c>
      <c r="C7" s="5" t="s">
        <v>214</v>
      </c>
      <c r="D7" s="19">
        <v>0.1</v>
      </c>
      <c r="E7" s="5">
        <f>IFERROR(INDEX('01_SKU_Input'!$H$4:$H$15,MATCH(B7,'01_SKU_Input'!$B$4:$B$15,0))*(1+IF(ISNUMBER(SEARCH("Distribution",C7)),D7,IF(ISNUMBER(SEARCH("Visibility",C7)),D7,0))),"")</f>
        <v>561000</v>
      </c>
      <c r="F7" s="19">
        <f>IFERROR(INDEX('01_SKU_Input'!$I$4:$I$15,MATCH(B7,'01_SKU_Input'!$B$4:$B$15,0))+IF(ISNUMBER(SEARCH("Margin",C7)),D7,0),"")</f>
        <v>0.62</v>
      </c>
      <c r="G7" s="20">
        <f>IFERROR(INDEX('03_Scoring_Model'!$P$4:$P$15,MATCH(B7,'03_Scoring_Model'!$B$4:$B$15,0))+IF(ISNUMBER(SEARCH("Distribution",C7)),4,IF(ISNUMBER(SEARCH("Visibility",C7)),3,IF(ISNUMBER(SEARCH("Margin",C7)),3,IF(ISNUMBER(SEARCH("transfer",C7)),-5,0)))),"")</f>
        <v>76</v>
      </c>
      <c r="H7" s="5" t="str">
        <f>IFERROR(INDEX('03_Scoring_Model'!$S$4:$S$15,MATCH(B7,'03_Scoring_Model'!$B$4:$B$15,0))&amp;" -&gt; "&amp;IF(G7&gt;=65,"Invest",IF(G7&gt;=50,"Test/Retain","Remove")),"")</f>
        <v>Retain -&gt; Invest</v>
      </c>
      <c r="I7" s="5" t="s">
        <v>215</v>
      </c>
    </row>
    <row r="8" spans="1:26" ht="14.4">
      <c r="A8" s="5" t="s">
        <v>216</v>
      </c>
      <c r="B8" s="5" t="s">
        <v>57</v>
      </c>
      <c r="C8" s="5" t="s">
        <v>217</v>
      </c>
      <c r="D8" s="19">
        <v>0.03</v>
      </c>
      <c r="E8" s="5">
        <f>IFERROR(INDEX('01_SKU_Input'!$H$4:$H$15,MATCH(B8,'01_SKU_Input'!$B$4:$B$15,0))*(1+IF(ISNUMBER(SEARCH("Distribution",C8)),D8,IF(ISNUMBER(SEARCH("Visibility",C8)),D8,0))),"")</f>
        <v>210000</v>
      </c>
      <c r="F8" s="19">
        <f>IFERROR(INDEX('01_SKU_Input'!$I$4:$I$15,MATCH(B8,'01_SKU_Input'!$B$4:$B$15,0))+IF(ISNUMBER(SEARCH("Margin",C8)),D8,0),"")</f>
        <v>0.39</v>
      </c>
      <c r="G8" s="20">
        <f>IFERROR(INDEX('03_Scoring_Model'!$P$4:$P$15,MATCH(B8,'03_Scoring_Model'!$B$4:$B$15,0))+IF(ISNUMBER(SEARCH("Distribution",C8)),4,IF(ISNUMBER(SEARCH("Visibility",C8)),3,IF(ISNUMBER(SEARCH("Margin",C8)),3,IF(ISNUMBER(SEARCH("transfer",C8)),-5,0)))),"")</f>
        <v>45</v>
      </c>
      <c r="H8" s="5" t="str">
        <f>IFERROR(INDEX('03_Scoring_Model'!$S$4:$S$15,MATCH(B8,'03_Scoring_Model'!$B$4:$B$15,0))&amp;" -&gt; "&amp;IF(G8&gt;=65,"Invest",IF(G8&gt;=50,"Test/Retain","Remove")),"")</f>
        <v>Remove -&gt; Remove</v>
      </c>
      <c r="I8" s="5" t="s">
        <v>218</v>
      </c>
    </row>
  </sheetData>
  <mergeCells count="1">
    <mergeCell ref="A1:H1"/>
  </mergeCells>
  <dataValidations count="1">
    <dataValidation type="list" sqref="C4:C19" xr:uid="{00000000-0002-0000-0600-000000000000}">
      <formula1>"Distribution +20%,Distribution +25%,Price +5%,Margin +3 pts,Visibility +10% ROS,Remove and transfer 30% sales"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07_Dashboard</vt:lpstr>
      <vt:lpstr>01_SKU_Input</vt:lpstr>
      <vt:lpstr>02_Assumptions</vt:lpstr>
      <vt:lpstr>03_Scoring_Model</vt:lpstr>
      <vt:lpstr>04_Portfolio_Matrix</vt:lpstr>
      <vt:lpstr>05_Recommendations</vt:lpstr>
      <vt:lpstr>06_Scenario_Test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Petrychenko</dc:creator>
  <cp:lastModifiedBy>Office</cp:lastModifiedBy>
  <dcterms:created xsi:type="dcterms:W3CDTF">2026-07-19T11:16:15Z</dcterms:created>
  <dcterms:modified xsi:type="dcterms:W3CDTF">2026-07-19T11:42:19Z</dcterms:modified>
</cp:coreProperties>
</file>